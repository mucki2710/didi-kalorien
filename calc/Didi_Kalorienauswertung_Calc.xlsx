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swertung" sheetId="1" state="visible" r:id="rId3"/>
    <sheet name="Mahlzeiten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<sst xmlns="http://schemas.openxmlformats.org/spreadsheetml/2006/main" count="33" uniqueCount="25">
  <si>
    <t xml:space="preserve">Didi · Kalorienauswertung</t>
  </si>
  <si>
    <t xml:space="preserve">Zeitraum von</t>
  </si>
  <si>
    <t xml:space="preserve">Zeitraum gesamt</t>
  </si>
  <si>
    <t xml:space="preserve">Ø je erfasstem Tag</t>
  </si>
  <si>
    <t xml:space="preserve">Protein (g)</t>
  </si>
  <si>
    <t xml:space="preserve">Kohlenhydrate (g)</t>
  </si>
  <si>
    <t xml:space="preserve">Fett (g)</t>
  </si>
  <si>
    <t xml:space="preserve">Mahlzeiten</t>
  </si>
  <si>
    <t xml:space="preserve">Zeitraum bis</t>
  </si>
  <si>
    <t xml:space="preserve">Tagesliste ab</t>
  </si>
  <si>
    <t xml:space="preserve">Zeitraum: B4/B5 ändern · Tagesliste: B7 ändern · Neue Mahlzeiten im Blatt „Mahlzeiten“ aus gespeicherter didi-alle-tage.csv der App laden.</t>
  </si>
  <si>
    <t xml:space="preserve">Die Wochen beginnen montags. Leere Tage bleiben ohne Kalorienwert. Ø bezieht sich auf erfasste Tage in der Tagesliste.</t>
  </si>
  <si>
    <t xml:space="preserve">Tageswerte (60 Tage)</t>
  </si>
  <si>
    <t xml:space="preserve">Wochenwerte (12 Wochen)</t>
  </si>
  <si>
    <t xml:space="preserve">Datum</t>
  </si>
  <si>
    <t xml:space="preserve">kcal</t>
  </si>
  <si>
    <t xml:space="preserve">Woche ab Montag</t>
  </si>
  <si>
    <t xml:space="preserve">Tag</t>
  </si>
  <si>
    <t xml:space="preserve">Woche</t>
  </si>
  <si>
    <t xml:space="preserve">Mahlzeit</t>
  </si>
  <si>
    <t xml:space="preserve">ID</t>
  </si>
  <si>
    <t xml:space="preserve">Gebratene Kartoffeln + Zucchini, gebraten</t>
  </si>
  <si>
    <t xml:space="preserve">85e4fd29-0f12-404b-a17b-dbf2618a10f2</t>
  </si>
  <si>
    <t xml:space="preserve">Paniertes, gebratenes Schnitzel (zwei Stück, zusammen geschätzt) + Pommes frites</t>
  </si>
  <si>
    <t xml:space="preserve">6ddf76b3-3936-4b42-a51b-9df001a08e72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</si>
</sst>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#,##0&quot; kcal&quot;"/>
    <numFmt numFmtId="167" formatCode="General"/>
    <numFmt numFmtId="168" formatCode="#,##0"/>
    <numFmt numFmtId="169" formatCode="#,##0.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0"/>
      <color rgb="FF20332B"/>
      <name val="Arial"/>
      <family val="0"/>
      <charset val="1"/>
    </font>
    <font>
      <b val="true"/>
      <sz val="15"/>
      <color rgb="FF185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0C2"/>
        <bgColor rgb="FFFFFF99"/>
      </patternFill>
    </fill>
    <fill>
      <patternFill patternType="solid">
        <fgColor rgb="FF185A4A"/>
        <bgColor rgb="FF156082"/>
      </patternFill>
    </fill>
    <fill>
      <patternFill patternType="solid">
        <fgColor rgb="FFEAF5EF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CCCCC"/>
      <rgbColor rgb="FF8B8B8B"/>
      <rgbColor rgb="FF9999FF"/>
      <rgbColor rgb="FF993366"/>
      <rgbColor rgb="FFFFF0C2"/>
      <rgbColor rgb="FFEAF5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85A4A"/>
      <rgbColor rgb="FF339966"/>
      <rgbColor rgb="FF003300"/>
      <rgbColor rgb="FF333300"/>
      <rgbColor rgb="FF993300"/>
      <rgbColor rgb="FF993366"/>
      <rgbColor rgb="FF333399"/>
      <rgbColor rgb="FF2033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Kalorien pro Tag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"kcal"</c:f>
              <c:strCache>
                <c:ptCount val="1"/>
                <c:pt idx="0">
                  <c:v>kcal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Auswertung!$G$60:$G$89</c:f>
              <c:strCache>
                <c:ptCount val="30"/>
                <c:pt idx="0">
                  <c:v>25.09</c:v>
                </c:pt>
                <c:pt idx="1">
                  <c:v>26.09</c:v>
                </c:pt>
                <c:pt idx="2">
                  <c:v>27.09</c:v>
                </c:pt>
                <c:pt idx="3">
                  <c:v>28.09</c:v>
                </c:pt>
                <c:pt idx="4">
                  <c:v>29.09</c:v>
                </c:pt>
                <c:pt idx="5">
                  <c:v>30.09</c:v>
                </c:pt>
                <c:pt idx="6">
                  <c:v>01.10</c:v>
                </c:pt>
                <c:pt idx="7">
                  <c:v>02.10</c:v>
                </c:pt>
                <c:pt idx="8">
                  <c:v>03.10</c:v>
                </c:pt>
                <c:pt idx="9">
                  <c:v>04.10</c:v>
                </c:pt>
                <c:pt idx="10">
                  <c:v>05.10</c:v>
                </c:pt>
                <c:pt idx="11">
                  <c:v>06.10</c:v>
                </c:pt>
                <c:pt idx="12">
                  <c:v>07.10</c:v>
                </c:pt>
                <c:pt idx="13">
                  <c:v>08.10</c:v>
                </c:pt>
                <c:pt idx="14">
                  <c:v>09.10</c:v>
                </c:pt>
                <c:pt idx="15">
                  <c:v>10.10</c:v>
                </c:pt>
                <c:pt idx="16">
                  <c:v>11.10</c:v>
                </c:pt>
                <c:pt idx="17">
                  <c:v>12.10</c:v>
                </c:pt>
                <c:pt idx="18">
                  <c:v>13.10</c:v>
                </c:pt>
                <c:pt idx="19">
                  <c:v>14.10</c:v>
                </c:pt>
                <c:pt idx="20">
                  <c:v>15.10</c:v>
                </c:pt>
                <c:pt idx="21">
                  <c:v>16.10</c:v>
                </c:pt>
                <c:pt idx="22">
                  <c:v>17.10</c:v>
                </c:pt>
                <c:pt idx="23">
                  <c:v>18.10</c:v>
                </c:pt>
                <c:pt idx="24">
                  <c:v>19.10</c:v>
                </c:pt>
                <c:pt idx="25">
                  <c:v>20.10</c:v>
                </c:pt>
                <c:pt idx="26">
                  <c:v>21.10</c:v>
                </c:pt>
                <c:pt idx="27">
                  <c:v>22.10</c:v>
                </c:pt>
                <c:pt idx="28">
                  <c:v>23.10</c:v>
                </c:pt>
                <c:pt idx="29">
                  <c:v>24.10</c:v>
                </c:pt>
              </c:strCache>
            </c:strRef>
          </c:cat>
          <c:val>
            <c:numRef>
              <c:f>Auswertung!$H$60:$H$89</c:f>
              <c:numCache>
                <c:formatCode>General</c:formatCode>
                <c:ptCount val="30"/>
                <c:pt idx="0">
                  <c:v>595</c:v>
                </c:pt>
                <c:pt idx="1">
                  <c:v>1295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gapWidth val="150"/>
        <c:overlap val="0"/>
        <c:axId val="90833145"/>
        <c:axId val="98854792"/>
      </c:barChart>
      <c:catAx>
        <c:axId val="9083314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8854792"/>
        <c:crosses val="autoZero"/>
        <c:auto val="1"/>
        <c:lblAlgn val="ctr"/>
        <c:lblOffset val="100"/>
        <c:noMultiLvlLbl val="0"/>
      </c:catAx>
      <c:valAx>
        <c:axId val="98854792"/>
        <c:scaling>
          <c:orientation val="minMax"/>
          <c:max val="3000"/>
          <c:min val="0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08331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Kalorien pro Woche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"kcal"</c:f>
              <c:strCache>
                <c:ptCount val="1"/>
                <c:pt idx="0">
                  <c:v>kcal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Auswertung!$J$60:$J$71</c:f>
              <c:strCache>
                <c:ptCount val="12"/>
                <c:pt idx="0">
                  <c:v>21.09</c:v>
                </c:pt>
                <c:pt idx="1">
                  <c:v>28.09</c:v>
                </c:pt>
                <c:pt idx="2">
                  <c:v>05.10</c:v>
                </c:pt>
                <c:pt idx="3">
                  <c:v>12.10</c:v>
                </c:pt>
                <c:pt idx="4">
                  <c:v>19.10</c:v>
                </c:pt>
                <c:pt idx="5">
                  <c:v>26.10</c:v>
                </c:pt>
                <c:pt idx="6">
                  <c:v>02.11</c:v>
                </c:pt>
                <c:pt idx="7">
                  <c:v>09.11</c:v>
                </c:pt>
                <c:pt idx="8">
                  <c:v>16.11</c:v>
                </c:pt>
                <c:pt idx="9">
                  <c:v>23.11</c:v>
                </c:pt>
                <c:pt idx="10">
                  <c:v>30.11</c:v>
                </c:pt>
                <c:pt idx="11">
                  <c:v>07.12</c:v>
                </c:pt>
              </c:strCache>
            </c:strRef>
          </c:cat>
          <c:val>
            <c:numRef>
              <c:f>Auswertung!$K$60:$K$71</c:f>
              <c:numCache>
                <c:formatCode>General</c:formatCode>
                <c:ptCount val="12"/>
                <c:pt idx="0">
                  <c:v>1890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35070448"/>
        <c:axId val="15752483"/>
      </c:barChart>
      <c:catAx>
        <c:axId val="35070448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5752483"/>
        <c:crosses val="autoZero"/>
        <c:auto val="1"/>
        <c:lblAlgn val="ctr"/>
        <c:lblOffset val="100"/>
        <c:noMultiLvlLbl val="0"/>
      </c:catAx>
      <c:valAx>
        <c:axId val="15752483"/>
        <c:scaling>
          <c:orientation val="minMax"/>
          <c:max val="3000"/>
          <c:min val="0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50704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17</xdr:row>
      <xdr:rowOff>0</xdr:rowOff>
    </xdr:from>
    <xdr:to>
      <xdr:col>13</xdr:col>
      <xdr:colOff>916200</xdr:colOff>
      <xdr:row>33</xdr:row>
      <xdr:rowOff>190080</xdr:rowOff>
    </xdr:to>
    <xdr:graphicFrame>
      <xdr:nvGraphicFramePr>
        <xdr:cNvPr id="0" name="Chart"/>
        <xdr:cNvGraphicFramePr/>
      </xdr:nvGraphicFramePr>
      <xdr:xfrm>
        <a:off x="6887160" y="3283560"/>
        <a:ext cx="760356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36</xdr:row>
      <xdr:rowOff>0</xdr:rowOff>
    </xdr:from>
    <xdr:to>
      <xdr:col>13</xdr:col>
      <xdr:colOff>916200</xdr:colOff>
      <xdr:row>52</xdr:row>
      <xdr:rowOff>190080</xdr:rowOff>
    </xdr:to>
    <xdr:graphicFrame>
      <xdr:nvGraphicFramePr>
        <xdr:cNvPr id="1" name="Chart"/>
        <xdr:cNvGraphicFramePr/>
      </xdr:nvGraphicFramePr>
      <xdr:xfrm>
        <a:off x="6887160" y="6903000"/>
        <a:ext cx="760356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5A4A"/>
    <pageSetUpPr fitToPage="false"/>
  </sheetPr>
  <dimension ref="A1:N8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9" topLeftCell="A71" activePane="bottomLeft" state="frozen"/>
      <selection pane="topLeft" activeCell="A1" activeCellId="0" sqref="A1"/>
      <selection pane="bottomLeft" activeCell="A11" activeCellId="0" sqref="A1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5" min="5" style="0" width="17.71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6.88"/>
    <col collapsed="false" customWidth="true" hidden="false" outlineLevel="0" max="14" min="9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.55" hidden="false" customHeight="false" outlineLevel="0" collapsed="false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5" hidden="false" customHeight="false" outlineLevel="0" collapsed="false">
      <c r="A4" s="1" t="s">
        <v>1</v>
      </c>
      <c r="B4" s="3" t="n">
        <v>46290</v>
      </c>
      <c r="C4" s="1"/>
      <c r="D4" s="4" t="s">
        <v>2</v>
      </c>
      <c r="E4" s="4" t="s">
        <v>3</v>
      </c>
      <c r="F4" s="1"/>
      <c r="G4" s="4" t="s">
        <v>4</v>
      </c>
      <c r="H4" s="4" t="s">
        <v>5</v>
      </c>
      <c r="I4" s="4" t="s">
        <v>6</v>
      </c>
      <c r="J4" s="4" t="s">
        <v>7</v>
      </c>
      <c r="K4" s="1"/>
      <c r="L4" s="1"/>
      <c r="M4" s="1"/>
      <c r="N4" s="1"/>
    </row>
    <row r="5" customFormat="false" ht="15" hidden="false" customHeight="false" outlineLevel="0" collapsed="false">
      <c r="A5" s="1" t="s">
        <v>8</v>
      </c>
      <c r="B5" s="3" t="n">
        <v>46291</v>
      </c>
      <c r="C5" s="1"/>
      <c r="D5" s="5" t="n">
        <f aca="false">IF(B5&lt;B4,"Datum prüfen",SUMIFS(Mahlzeiten!$D$2:$D$501,Mahlzeiten!$A$2:$A$501,"&gt;="&amp;B4,Mahlzeiten!$A$2:$A$501,"&lt;"&amp;B5+1))</f>
        <v>1890</v>
      </c>
      <c r="E5" s="5" t="n">
        <f aca="false">IF(B5&lt;B4,"Datum prüfen",IF(OR(B4&lt;B7,B5&gt;=B7+60),"Tagesliste anpassen",IF(COUNTIFS(Mahlzeiten!$A$2:$A$501,"&gt;="&amp;B4,Mahlzeiten!$A$2:$A$501,"&lt;"&amp;B5+1)=0,"",D5/SUMPRODUCT((A20:A79&gt;=B4)*(A20:A79&lt;=B5)*(B20:B79&lt;&gt;"")))))</f>
        <v>945</v>
      </c>
      <c r="F5" s="1"/>
      <c r="G5" s="6" t="n">
        <f aca="false">IF($B$5&lt;$B$4,"Datum prüfen",SUMIFS(Mahlzeiten!$E$2:$E$501,Mahlzeiten!$A$2:$A$501,"&gt;="&amp;$B$4,Mahlzeiten!$A$2:$A$501,"&lt;"&amp;$B$5+1))</f>
        <v>99</v>
      </c>
      <c r="H5" s="6" t="n">
        <f aca="false">IF($B$5&lt;$B$4,"Datum prüfen",SUMIFS(Mahlzeiten!$F$2:$F$501,Mahlzeiten!$A$2:$A$501,"&gt;="&amp;$B$4,Mahlzeiten!$A$2:$A$501,"&lt;"&amp;$B$5+1))</f>
        <v>153</v>
      </c>
      <c r="I5" s="6" t="n">
        <f aca="false">IF($B$5&lt;$B$4,"Datum prüfen",SUMIFS(Mahlzeiten!$G$2:$G$501,Mahlzeiten!$A$2:$A$501,"&gt;="&amp;$B$4,Mahlzeiten!$A$2:$A$501,"&lt;"&amp;$B$5+1))</f>
        <v>96</v>
      </c>
      <c r="J5" s="6" t="n">
        <f aca="false">IF(B5&lt;B4,"Datum prüfen",COUNTIFS(Mahlzeiten!$A$2:$A$501,"&gt;="&amp;B4,Mahlzeiten!$A$2:$A$501,"&lt;"&amp;B5+1))</f>
        <v>2</v>
      </c>
      <c r="K5" s="1"/>
      <c r="L5" s="1"/>
      <c r="M5" s="1"/>
      <c r="N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customFormat="false" ht="15" hidden="false" customHeight="false" outlineLevel="0" collapsed="false">
      <c r="A7" s="1" t="s">
        <v>9</v>
      </c>
      <c r="B7" s="3" t="n">
        <v>46290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customFormat="false" ht="15" hidden="false" customHeight="false" outlineLevel="0" collapsed="false">
      <c r="A10" s="1" t="s">
        <v>10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customFormat="false" ht="15" hidden="false" customHeight="false" outlineLevel="0" collapsed="false">
      <c r="A11" s="1" t="s">
        <v>11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customFormat="false" ht="15" hidden="false" customHeight="false" outlineLevel="0" collapsed="false">
      <c r="A13" s="1" t="s">
        <v>12</v>
      </c>
      <c r="B13" s="1"/>
      <c r="C13" s="1"/>
      <c r="D13" s="1" t="s">
        <v>13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customFormat="false" ht="15" hidden="false" customHeight="false" outlineLevel="0" collapsed="false">
      <c r="A19" s="4" t="s">
        <v>14</v>
      </c>
      <c r="B19" s="4" t="s">
        <v>15</v>
      </c>
      <c r="C19" s="7"/>
      <c r="D19" s="4" t="s">
        <v>16</v>
      </c>
      <c r="E19" s="4" t="s">
        <v>15</v>
      </c>
      <c r="F19" s="1"/>
      <c r="G19" s="1"/>
      <c r="H19" s="1"/>
      <c r="I19" s="1"/>
      <c r="J19" s="1"/>
      <c r="K19" s="1"/>
      <c r="L19" s="1"/>
      <c r="M19" s="1"/>
      <c r="N19" s="1"/>
    </row>
    <row r="20" customFormat="false" ht="15" hidden="false" customHeight="false" outlineLevel="0" collapsed="false">
      <c r="A20" s="8" t="n">
        <f aca="false">$B$7</f>
        <v>46290</v>
      </c>
      <c r="B20" s="9" t="n">
        <f aca="false">IF(COUNTIF(Mahlzeiten!$A$2:$A$501,A20)=0,"",SUMIF(Mahlzeiten!$A$2:$A$501,A20,Mahlzeiten!$D$2:$D$501))</f>
        <v>595</v>
      </c>
      <c r="C20" s="1"/>
      <c r="D20" s="8" t="n">
        <f aca="false">A20-WEEKDAY(A20,2)+1</f>
        <v>46286</v>
      </c>
      <c r="E20" s="9" t="n">
        <f aca="false">IF(COUNTIFS(Mahlzeiten!$A$2:$A$501,"&gt;="&amp;D20,Mahlzeiten!$A$2:$A$501,"&lt;"&amp;D20+7)=0,"",SUMIFS(Mahlzeiten!$D$2:$D$501,Mahlzeiten!$A$2:$A$501,"&gt;="&amp;D20,Mahlzeiten!$A$2:$A$501,"&lt;"&amp;D20+7))</f>
        <v>1890</v>
      </c>
      <c r="F20" s="1"/>
      <c r="G20" s="1"/>
      <c r="H20" s="1"/>
      <c r="I20" s="1"/>
      <c r="J20" s="1"/>
      <c r="K20" s="1"/>
      <c r="L20" s="1"/>
      <c r="M20" s="1"/>
      <c r="N20" s="1"/>
    </row>
    <row r="21" customFormat="false" ht="15" hidden="false" customHeight="false" outlineLevel="0" collapsed="false">
      <c r="A21" s="8" t="n">
        <f aca="false">A20+1</f>
        <v>46291</v>
      </c>
      <c r="B21" s="9" t="n">
        <f aca="false">IF(COUNTIF(Mahlzeiten!$A$2:$A$501,A21)=0,"",SUMIF(Mahlzeiten!$A$2:$A$501,A21,Mahlzeiten!$D$2:$D$501))</f>
        <v>1295</v>
      </c>
      <c r="C21" s="1"/>
      <c r="D21" s="8" t="n">
        <f aca="false">D20+7</f>
        <v>46293</v>
      </c>
      <c r="E21" s="9" t="str">
        <f aca="false">IF(COUNTIFS(Mahlzeiten!$A$2:$A$501,"&gt;="&amp;D21,Mahlzeiten!$A$2:$A$501,"&lt;"&amp;D21+7)=0,"",SUMIFS(Mahlzeiten!$D$2:$D$501,Mahlzeiten!$A$2:$A$501,"&gt;="&amp;D21,Mahlzeiten!$A$2:$A$501,"&lt;"&amp;D21+7))</f>
        <v/>
      </c>
      <c r="F21" s="1"/>
      <c r="G21" s="1"/>
      <c r="H21" s="1"/>
      <c r="I21" s="1"/>
      <c r="J21" s="1"/>
      <c r="K21" s="1"/>
      <c r="L21" s="1"/>
      <c r="M21" s="1"/>
      <c r="N21" s="1"/>
    </row>
    <row r="22" customFormat="false" ht="15" hidden="false" customHeight="false" outlineLevel="0" collapsed="false">
      <c r="A22" s="8" t="n">
        <f aca="false">A21+1</f>
        <v>46292</v>
      </c>
      <c r="B22" s="9" t="str">
        <f aca="false">IF(COUNTIF(Mahlzeiten!$A$2:$A$501,A22)=0,"",SUMIF(Mahlzeiten!$A$2:$A$501,A22,Mahlzeiten!$D$2:$D$501))</f>
        <v/>
      </c>
      <c r="C22" s="1"/>
      <c r="D22" s="8" t="n">
        <f aca="false">D21+7</f>
        <v>46300</v>
      </c>
      <c r="E22" s="9" t="str">
        <f aca="false">IF(COUNTIFS(Mahlzeiten!$A$2:$A$501,"&gt;="&amp;D22,Mahlzeiten!$A$2:$A$501,"&lt;"&amp;D22+7)=0,"",SUMIFS(Mahlzeiten!$D$2:$D$501,Mahlzeiten!$A$2:$A$501,"&gt;="&amp;D22,Mahlzeiten!$A$2:$A$501,"&lt;"&amp;D22+7))</f>
        <v/>
      </c>
      <c r="F22" s="1"/>
      <c r="G22" s="1"/>
      <c r="H22" s="1"/>
      <c r="I22" s="1"/>
      <c r="J22" s="1"/>
      <c r="K22" s="1"/>
      <c r="L22" s="1"/>
      <c r="M22" s="1"/>
      <c r="N22" s="1"/>
    </row>
    <row r="23" customFormat="false" ht="15" hidden="false" customHeight="false" outlineLevel="0" collapsed="false">
      <c r="A23" s="8" t="n">
        <f aca="false">A22+1</f>
        <v>46293</v>
      </c>
      <c r="B23" s="9" t="str">
        <f aca="false">IF(COUNTIF(Mahlzeiten!$A$2:$A$501,A23)=0,"",SUMIF(Mahlzeiten!$A$2:$A$501,A23,Mahlzeiten!$D$2:$D$501))</f>
        <v/>
      </c>
      <c r="C23" s="1"/>
      <c r="D23" s="8" t="n">
        <f aca="false">D22+7</f>
        <v>46307</v>
      </c>
      <c r="E23" s="9" t="str">
        <f aca="false">IF(COUNTIFS(Mahlzeiten!$A$2:$A$501,"&gt;="&amp;D23,Mahlzeiten!$A$2:$A$501,"&lt;"&amp;D23+7)=0,"",SUMIFS(Mahlzeiten!$D$2:$D$501,Mahlzeiten!$A$2:$A$501,"&gt;="&amp;D23,Mahlzeiten!$A$2:$A$501,"&lt;"&amp;D23+7))</f>
        <v/>
      </c>
      <c r="F23" s="1"/>
      <c r="G23" s="1"/>
      <c r="H23" s="1"/>
      <c r="I23" s="1"/>
      <c r="J23" s="1"/>
      <c r="K23" s="1"/>
      <c r="L23" s="1"/>
      <c r="M23" s="1"/>
      <c r="N23" s="1"/>
    </row>
    <row r="24" customFormat="false" ht="15" hidden="false" customHeight="false" outlineLevel="0" collapsed="false">
      <c r="A24" s="8" t="n">
        <f aca="false">A23+1</f>
        <v>46294</v>
      </c>
      <c r="B24" s="9" t="str">
        <f aca="false">IF(COUNTIF(Mahlzeiten!$A$2:$A$501,A24)=0,"",SUMIF(Mahlzeiten!$A$2:$A$501,A24,Mahlzeiten!$D$2:$D$501))</f>
        <v/>
      </c>
      <c r="C24" s="1"/>
      <c r="D24" s="8" t="n">
        <f aca="false">D23+7</f>
        <v>46314</v>
      </c>
      <c r="E24" s="9" t="str">
        <f aca="false">IF(COUNTIFS(Mahlzeiten!$A$2:$A$501,"&gt;="&amp;D24,Mahlzeiten!$A$2:$A$501,"&lt;"&amp;D24+7)=0,"",SUMIFS(Mahlzeiten!$D$2:$D$501,Mahlzeiten!$A$2:$A$501,"&gt;="&amp;D24,Mahlzeiten!$A$2:$A$501,"&lt;"&amp;D24+7))</f>
        <v/>
      </c>
      <c r="F24" s="1"/>
      <c r="G24" s="1"/>
      <c r="H24" s="1"/>
      <c r="I24" s="1"/>
      <c r="J24" s="1"/>
      <c r="K24" s="1"/>
      <c r="L24" s="1"/>
      <c r="M24" s="1"/>
      <c r="N24" s="1"/>
    </row>
    <row r="25" customFormat="false" ht="15" hidden="false" customHeight="false" outlineLevel="0" collapsed="false">
      <c r="A25" s="8" t="n">
        <f aca="false">A24+1</f>
        <v>46295</v>
      </c>
      <c r="B25" s="9" t="str">
        <f aca="false">IF(COUNTIF(Mahlzeiten!$A$2:$A$501,A25)=0,"",SUMIF(Mahlzeiten!$A$2:$A$501,A25,Mahlzeiten!$D$2:$D$501))</f>
        <v/>
      </c>
      <c r="C25" s="1"/>
      <c r="D25" s="8" t="n">
        <f aca="false">D24+7</f>
        <v>46321</v>
      </c>
      <c r="E25" s="9" t="str">
        <f aca="false">IF(COUNTIFS(Mahlzeiten!$A$2:$A$501,"&gt;="&amp;D25,Mahlzeiten!$A$2:$A$501,"&lt;"&amp;D25+7)=0,"",SUMIFS(Mahlzeiten!$D$2:$D$501,Mahlzeiten!$A$2:$A$501,"&gt;="&amp;D25,Mahlzeiten!$A$2:$A$501,"&lt;"&amp;D25+7))</f>
        <v/>
      </c>
      <c r="F25" s="1"/>
      <c r="G25" s="1"/>
      <c r="H25" s="1"/>
      <c r="I25" s="1"/>
      <c r="J25" s="1"/>
      <c r="K25" s="1"/>
      <c r="L25" s="1"/>
      <c r="M25" s="1"/>
      <c r="N25" s="1"/>
    </row>
    <row r="26" customFormat="false" ht="15" hidden="false" customHeight="false" outlineLevel="0" collapsed="false">
      <c r="A26" s="8" t="n">
        <f aca="false">A25+1</f>
        <v>46296</v>
      </c>
      <c r="B26" s="9" t="str">
        <f aca="false">IF(COUNTIF(Mahlzeiten!$A$2:$A$501,A26)=0,"",SUMIF(Mahlzeiten!$A$2:$A$501,A26,Mahlzeiten!$D$2:$D$501))</f>
        <v/>
      </c>
      <c r="C26" s="1"/>
      <c r="D26" s="8" t="n">
        <f aca="false">D25+7</f>
        <v>46328</v>
      </c>
      <c r="E26" s="9" t="str">
        <f aca="false">IF(COUNTIFS(Mahlzeiten!$A$2:$A$501,"&gt;="&amp;D26,Mahlzeiten!$A$2:$A$501,"&lt;"&amp;D26+7)=0,"",SUMIFS(Mahlzeiten!$D$2:$D$501,Mahlzeiten!$A$2:$A$501,"&gt;="&amp;D26,Mahlzeiten!$A$2:$A$501,"&lt;"&amp;D26+7))</f>
        <v/>
      </c>
      <c r="F26" s="1"/>
      <c r="G26" s="1"/>
      <c r="H26" s="1"/>
      <c r="I26" s="1"/>
      <c r="J26" s="1"/>
      <c r="K26" s="1"/>
      <c r="L26" s="1"/>
      <c r="M26" s="1"/>
      <c r="N26" s="1"/>
    </row>
    <row r="27" customFormat="false" ht="15" hidden="false" customHeight="false" outlineLevel="0" collapsed="false">
      <c r="A27" s="8" t="n">
        <f aca="false">A26+1</f>
        <v>46297</v>
      </c>
      <c r="B27" s="9" t="str">
        <f aca="false">IF(COUNTIF(Mahlzeiten!$A$2:$A$501,A27)=0,"",SUMIF(Mahlzeiten!$A$2:$A$501,A27,Mahlzeiten!$D$2:$D$501))</f>
        <v/>
      </c>
      <c r="C27" s="1"/>
      <c r="D27" s="8" t="n">
        <f aca="false">D26+7</f>
        <v>46335</v>
      </c>
      <c r="E27" s="9" t="str">
        <f aca="false">IF(COUNTIFS(Mahlzeiten!$A$2:$A$501,"&gt;="&amp;D27,Mahlzeiten!$A$2:$A$501,"&lt;"&amp;D27+7)=0,"",SUMIFS(Mahlzeiten!$D$2:$D$501,Mahlzeiten!$A$2:$A$501,"&gt;="&amp;D27,Mahlzeiten!$A$2:$A$501,"&lt;"&amp;D27+7))</f>
        <v/>
      </c>
      <c r="F27" s="1"/>
      <c r="G27" s="1"/>
      <c r="H27" s="1"/>
      <c r="I27" s="1"/>
      <c r="J27" s="1"/>
      <c r="K27" s="1"/>
      <c r="L27" s="1"/>
      <c r="M27" s="1"/>
      <c r="N27" s="1"/>
    </row>
    <row r="28" customFormat="false" ht="15" hidden="false" customHeight="false" outlineLevel="0" collapsed="false">
      <c r="A28" s="8" t="n">
        <f aca="false">A27+1</f>
        <v>46298</v>
      </c>
      <c r="B28" s="9" t="str">
        <f aca="false">IF(COUNTIF(Mahlzeiten!$A$2:$A$501,A28)=0,"",SUMIF(Mahlzeiten!$A$2:$A$501,A28,Mahlzeiten!$D$2:$D$501))</f>
        <v/>
      </c>
      <c r="C28" s="1"/>
      <c r="D28" s="8" t="n">
        <f aca="false">D27+7</f>
        <v>46342</v>
      </c>
      <c r="E28" s="9" t="str">
        <f aca="false">IF(COUNTIFS(Mahlzeiten!$A$2:$A$501,"&gt;="&amp;D28,Mahlzeiten!$A$2:$A$501,"&lt;"&amp;D28+7)=0,"",SUMIFS(Mahlzeiten!$D$2:$D$501,Mahlzeiten!$A$2:$A$501,"&gt;="&amp;D28,Mahlzeiten!$A$2:$A$501,"&lt;"&amp;D28+7))</f>
        <v/>
      </c>
      <c r="F28" s="1"/>
      <c r="G28" s="1"/>
      <c r="H28" s="1"/>
      <c r="I28" s="1"/>
      <c r="J28" s="1"/>
      <c r="K28" s="1"/>
      <c r="L28" s="1"/>
      <c r="M28" s="1"/>
      <c r="N28" s="1"/>
    </row>
    <row r="29" customFormat="false" ht="15" hidden="false" customHeight="false" outlineLevel="0" collapsed="false">
      <c r="A29" s="8" t="n">
        <f aca="false">A28+1</f>
        <v>46299</v>
      </c>
      <c r="B29" s="9" t="str">
        <f aca="false">IF(COUNTIF(Mahlzeiten!$A$2:$A$501,A29)=0,"",SUMIF(Mahlzeiten!$A$2:$A$501,A29,Mahlzeiten!$D$2:$D$501))</f>
        <v/>
      </c>
      <c r="C29" s="1"/>
      <c r="D29" s="8" t="n">
        <f aca="false">D28+7</f>
        <v>46349</v>
      </c>
      <c r="E29" s="9" t="str">
        <f aca="false">IF(COUNTIFS(Mahlzeiten!$A$2:$A$501,"&gt;="&amp;D29,Mahlzeiten!$A$2:$A$501,"&lt;"&amp;D29+7)=0,"",SUMIFS(Mahlzeiten!$D$2:$D$501,Mahlzeiten!$A$2:$A$501,"&gt;="&amp;D29,Mahlzeiten!$A$2:$A$501,"&lt;"&amp;D29+7))</f>
        <v/>
      </c>
      <c r="F29" s="1"/>
      <c r="G29" s="1"/>
      <c r="H29" s="1"/>
      <c r="I29" s="1"/>
      <c r="J29" s="1"/>
      <c r="K29" s="1"/>
      <c r="L29" s="1"/>
      <c r="M29" s="1"/>
      <c r="N29" s="1"/>
    </row>
    <row r="30" customFormat="false" ht="15" hidden="false" customHeight="false" outlineLevel="0" collapsed="false">
      <c r="A30" s="8" t="n">
        <f aca="false">A29+1</f>
        <v>46300</v>
      </c>
      <c r="B30" s="9" t="str">
        <f aca="false">IF(COUNTIF(Mahlzeiten!$A$2:$A$501,A30)=0,"",SUMIF(Mahlzeiten!$A$2:$A$501,A30,Mahlzeiten!$D$2:$D$501))</f>
        <v/>
      </c>
      <c r="C30" s="1"/>
      <c r="D30" s="8" t="n">
        <f aca="false">D29+7</f>
        <v>46356</v>
      </c>
      <c r="E30" s="9" t="str">
        <f aca="false">IF(COUNTIFS(Mahlzeiten!$A$2:$A$501,"&gt;="&amp;D30,Mahlzeiten!$A$2:$A$501,"&lt;"&amp;D30+7)=0,"",SUMIFS(Mahlzeiten!$D$2:$D$501,Mahlzeiten!$A$2:$A$501,"&gt;="&amp;D30,Mahlzeiten!$A$2:$A$501,"&lt;"&amp;D30+7))</f>
        <v/>
      </c>
      <c r="F30" s="1"/>
      <c r="G30" s="1"/>
      <c r="H30" s="1"/>
      <c r="I30" s="1"/>
      <c r="J30" s="1"/>
      <c r="K30" s="1"/>
      <c r="L30" s="1"/>
      <c r="M30" s="1"/>
      <c r="N30" s="1"/>
    </row>
    <row r="31" customFormat="false" ht="15" hidden="false" customHeight="false" outlineLevel="0" collapsed="false">
      <c r="A31" s="8" t="n">
        <f aca="false">A30+1</f>
        <v>46301</v>
      </c>
      <c r="B31" s="9" t="str">
        <f aca="false">IF(COUNTIF(Mahlzeiten!$A$2:$A$501,A31)=0,"",SUMIF(Mahlzeiten!$A$2:$A$501,A31,Mahlzeiten!$D$2:$D$501))</f>
        <v/>
      </c>
      <c r="C31" s="1"/>
      <c r="D31" s="8" t="n">
        <f aca="false">D30+7</f>
        <v>46363</v>
      </c>
      <c r="E31" s="9" t="str">
        <f aca="false">IF(COUNTIFS(Mahlzeiten!$A$2:$A$501,"&gt;="&amp;D31,Mahlzeiten!$A$2:$A$501,"&lt;"&amp;D31+7)=0,"",SUMIFS(Mahlzeiten!$D$2:$D$501,Mahlzeiten!$A$2:$A$501,"&gt;="&amp;D31,Mahlzeiten!$A$2:$A$501,"&lt;"&amp;D31+7))</f>
        <v/>
      </c>
      <c r="F31" s="1"/>
      <c r="G31" s="1"/>
      <c r="H31" s="1"/>
      <c r="I31" s="1"/>
      <c r="J31" s="1"/>
      <c r="K31" s="1"/>
      <c r="L31" s="1"/>
      <c r="M31" s="1"/>
      <c r="N31" s="1"/>
    </row>
    <row r="32" customFormat="false" ht="15" hidden="false" customHeight="false" outlineLevel="0" collapsed="false">
      <c r="A32" s="8" t="n">
        <f aca="false">A31+1</f>
        <v>46302</v>
      </c>
      <c r="B32" s="9" t="str">
        <f aca="false">IF(COUNTIF(Mahlzeiten!$A$2:$A$501,A32)=0,"",SUMIF(Mahlzeiten!$A$2:$A$501,A32,Mahlzeiten!$D$2:$D$501))</f>
        <v/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Format="false" ht="15" hidden="false" customHeight="false" outlineLevel="0" collapsed="false">
      <c r="A33" s="8" t="n">
        <f aca="false">A32+1</f>
        <v>46303</v>
      </c>
      <c r="B33" s="9" t="str">
        <f aca="false">IF(COUNTIF(Mahlzeiten!$A$2:$A$501,A33)=0,"",SUMIF(Mahlzeiten!$A$2:$A$501,A33,Mahlzeiten!$D$2:$D$501))</f>
        <v/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5" hidden="false" customHeight="false" outlineLevel="0" collapsed="false">
      <c r="A34" s="8" t="n">
        <f aca="false">A33+1</f>
        <v>46304</v>
      </c>
      <c r="B34" s="9" t="str">
        <f aca="false">IF(COUNTIF(Mahlzeiten!$A$2:$A$501,A34)=0,"",SUMIF(Mahlzeiten!$A$2:$A$501,A34,Mahlzeiten!$D$2:$D$501))</f>
        <v/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8" t="n">
        <f aca="false">A34+1</f>
        <v>46305</v>
      </c>
      <c r="B35" s="9" t="str">
        <f aca="false">IF(COUNTIF(Mahlzeiten!$A$2:$A$501,A35)=0,"",SUMIF(Mahlzeiten!$A$2:$A$501,A35,Mahlzeiten!$D$2:$D$501))</f>
        <v/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8" t="n">
        <f aca="false">A35+1</f>
        <v>46306</v>
      </c>
      <c r="B36" s="9" t="str">
        <f aca="false">IF(COUNTIF(Mahlzeiten!$A$2:$A$501,A36)=0,"",SUMIF(Mahlzeiten!$A$2:$A$501,A36,Mahlzeiten!$D$2:$D$501))</f>
        <v/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5" hidden="false" customHeight="false" outlineLevel="0" collapsed="false">
      <c r="A37" s="8" t="n">
        <f aca="false">A36+1</f>
        <v>46307</v>
      </c>
      <c r="B37" s="9" t="str">
        <f aca="false">IF(COUNTIF(Mahlzeiten!$A$2:$A$501,A37)=0,"",SUMIF(Mahlzeiten!$A$2:$A$501,A37,Mahlzeiten!$D$2:$D$501))</f>
        <v/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5" hidden="false" customHeight="false" outlineLevel="0" collapsed="false">
      <c r="A38" s="8" t="n">
        <f aca="false">A37+1</f>
        <v>46308</v>
      </c>
      <c r="B38" s="9" t="str">
        <f aca="false">IF(COUNTIF(Mahlzeiten!$A$2:$A$501,A38)=0,"",SUMIF(Mahlzeiten!$A$2:$A$501,A38,Mahlzeiten!$D$2:$D$501))</f>
        <v/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8" t="n">
        <f aca="false">A38+1</f>
        <v>46309</v>
      </c>
      <c r="B39" s="9" t="str">
        <f aca="false">IF(COUNTIF(Mahlzeiten!$A$2:$A$501,A39)=0,"",SUMIF(Mahlzeiten!$A$2:$A$501,A39,Mahlzeiten!$D$2:$D$501))</f>
        <v/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8" t="n">
        <f aca="false">A39+1</f>
        <v>46310</v>
      </c>
      <c r="B40" s="9" t="str">
        <f aca="false">IF(COUNTIF(Mahlzeiten!$A$2:$A$501,A40)=0,"",SUMIF(Mahlzeiten!$A$2:$A$501,A40,Mahlzeiten!$D$2:$D$501))</f>
        <v/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15" hidden="false" customHeight="false" outlineLevel="0" collapsed="false">
      <c r="A41" s="8" t="n">
        <f aca="false">A40+1</f>
        <v>46311</v>
      </c>
      <c r="B41" s="9" t="str">
        <f aca="false">IF(COUNTIF(Mahlzeiten!$A$2:$A$501,A41)=0,"",SUMIF(Mahlzeiten!$A$2:$A$501,A41,Mahlzeiten!$D$2:$D$501))</f>
        <v/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customFormat="false" ht="15" hidden="false" customHeight="false" outlineLevel="0" collapsed="false">
      <c r="A42" s="8" t="n">
        <f aca="false">A41+1</f>
        <v>46312</v>
      </c>
      <c r="B42" s="9" t="str">
        <f aca="false">IF(COUNTIF(Mahlzeiten!$A$2:$A$501,A42)=0,"",SUMIF(Mahlzeiten!$A$2:$A$501,A42,Mahlzeiten!$D$2:$D$501))</f>
        <v/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8" t="n">
        <f aca="false">A42+1</f>
        <v>46313</v>
      </c>
      <c r="B43" s="9" t="str">
        <f aca="false">IF(COUNTIF(Mahlzeiten!$A$2:$A$501,A43)=0,"",SUMIF(Mahlzeiten!$A$2:$A$501,A43,Mahlzeiten!$D$2:$D$501))</f>
        <v/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8" t="n">
        <f aca="false">A43+1</f>
        <v>46314</v>
      </c>
      <c r="B44" s="9" t="str">
        <f aca="false">IF(COUNTIF(Mahlzeiten!$A$2:$A$501,A44)=0,"",SUMIF(Mahlzeiten!$A$2:$A$501,A44,Mahlzeiten!$D$2:$D$501))</f>
        <v/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8" t="n">
        <f aca="false">A44+1</f>
        <v>46315</v>
      </c>
      <c r="B45" s="9" t="str">
        <f aca="false">IF(COUNTIF(Mahlzeiten!$A$2:$A$501,A45)=0,"",SUMIF(Mahlzeiten!$A$2:$A$501,A45,Mahlzeiten!$D$2:$D$501))</f>
        <v/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A46" s="8" t="n">
        <f aca="false">A45+1</f>
        <v>46316</v>
      </c>
      <c r="B46" s="9" t="str">
        <f aca="false">IF(COUNTIF(Mahlzeiten!$A$2:$A$501,A46)=0,"",SUMIF(Mahlzeiten!$A$2:$A$501,A46,Mahlzeiten!$D$2:$D$501))</f>
        <v/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A47" s="8" t="n">
        <f aca="false">A46+1</f>
        <v>46317</v>
      </c>
      <c r="B47" s="9" t="str">
        <f aca="false">IF(COUNTIF(Mahlzeiten!$A$2:$A$501,A47)=0,"",SUMIF(Mahlzeiten!$A$2:$A$501,A47,Mahlzeiten!$D$2:$D$501))</f>
        <v/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8" t="n">
        <f aca="false">A47+1</f>
        <v>46318</v>
      </c>
      <c r="B48" s="9" t="str">
        <f aca="false">IF(COUNTIF(Mahlzeiten!$A$2:$A$501,A48)=0,"",SUMIF(Mahlzeiten!$A$2:$A$501,A48,Mahlzeiten!$D$2:$D$501))</f>
        <v/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customFormat="false" ht="15" hidden="false" customHeight="false" outlineLevel="0" collapsed="false">
      <c r="A49" s="8" t="n">
        <f aca="false">A48+1</f>
        <v>46319</v>
      </c>
      <c r="B49" s="9" t="str">
        <f aca="false">IF(COUNTIF(Mahlzeiten!$A$2:$A$501,A49)=0,"",SUMIF(Mahlzeiten!$A$2:$A$501,A49,Mahlzeiten!$D$2:$D$501))</f>
        <v/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8" t="n">
        <f aca="false">A49+1</f>
        <v>46320</v>
      </c>
      <c r="B50" s="9" t="str">
        <f aca="false">IF(COUNTIF(Mahlzeiten!$A$2:$A$501,A50)=0,"",SUMIF(Mahlzeiten!$A$2:$A$501,A50,Mahlzeiten!$D$2:$D$501))</f>
        <v/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5" hidden="false" customHeight="false" outlineLevel="0" collapsed="false">
      <c r="A51" s="8" t="n">
        <f aca="false">A50+1</f>
        <v>46321</v>
      </c>
      <c r="B51" s="9" t="str">
        <f aca="false">IF(COUNTIF(Mahlzeiten!$A$2:$A$501,A51)=0,"",SUMIF(Mahlzeiten!$A$2:$A$501,A51,Mahlzeiten!$D$2:$D$501))</f>
        <v/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5" hidden="false" customHeight="false" outlineLevel="0" collapsed="false">
      <c r="A52" s="8" t="n">
        <f aca="false">A51+1</f>
        <v>46322</v>
      </c>
      <c r="B52" s="9" t="str">
        <f aca="false">IF(COUNTIF(Mahlzeiten!$A$2:$A$501,A52)=0,"",SUMIF(Mahlzeiten!$A$2:$A$501,A52,Mahlzeiten!$D$2:$D$501))</f>
        <v/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A53" s="8" t="n">
        <f aca="false">A52+1</f>
        <v>46323</v>
      </c>
      <c r="B53" s="9" t="str">
        <f aca="false">IF(COUNTIF(Mahlzeiten!$A$2:$A$501,A53)=0,"",SUMIF(Mahlzeiten!$A$2:$A$501,A53,Mahlzeiten!$D$2:$D$501))</f>
        <v/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A54" s="8" t="n">
        <f aca="false">A53+1</f>
        <v>46324</v>
      </c>
      <c r="B54" s="9" t="str">
        <f aca="false">IF(COUNTIF(Mahlzeiten!$A$2:$A$501,A54)=0,"",SUMIF(Mahlzeiten!$A$2:$A$501,A54,Mahlzeiten!$D$2:$D$501))</f>
        <v/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A55" s="8" t="n">
        <f aca="false">A54+1</f>
        <v>46325</v>
      </c>
      <c r="B55" s="9" t="str">
        <f aca="false">IF(COUNTIF(Mahlzeiten!$A$2:$A$501,A55)=0,"",SUMIF(Mahlzeiten!$A$2:$A$501,A55,Mahlzeiten!$D$2:$D$501))</f>
        <v/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A56" s="8" t="n">
        <f aca="false">A55+1</f>
        <v>46326</v>
      </c>
      <c r="B56" s="9" t="str">
        <f aca="false">IF(COUNTIF(Mahlzeiten!$A$2:$A$501,A56)=0,"",SUMIF(Mahlzeiten!$A$2:$A$501,A56,Mahlzeiten!$D$2:$D$501))</f>
        <v/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A57" s="8" t="n">
        <f aca="false">A56+1</f>
        <v>46327</v>
      </c>
      <c r="B57" s="9" t="str">
        <f aca="false">IF(COUNTIF(Mahlzeiten!$A$2:$A$501,A57)=0,"",SUMIF(Mahlzeiten!$A$2:$A$501,A57,Mahlzeiten!$D$2:$D$501))</f>
        <v/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8" t="n">
        <f aca="false">A57+1</f>
        <v>46328</v>
      </c>
      <c r="B58" s="9" t="str">
        <f aca="false">IF(COUNTIF(Mahlzeiten!$A$2:$A$501,A58)=0,"",SUMIF(Mahlzeiten!$A$2:$A$501,A58,Mahlzeiten!$D$2:$D$501))</f>
        <v/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8" t="n">
        <f aca="false">A58+1</f>
        <v>46329</v>
      </c>
      <c r="B59" s="9" t="str">
        <f aca="false">IF(COUNTIF(Mahlzeiten!$A$2:$A$501,A59)=0,"",SUMIF(Mahlzeiten!$A$2:$A$501,A59,Mahlzeiten!$D$2:$D$501))</f>
        <v/>
      </c>
      <c r="C59" s="1"/>
      <c r="D59" s="1"/>
      <c r="E59" s="1"/>
      <c r="F59" s="1"/>
      <c r="G59" s="10" t="s">
        <v>17</v>
      </c>
      <c r="H59" s="7" t="s">
        <v>15</v>
      </c>
      <c r="I59" s="7"/>
      <c r="J59" s="11" t="s">
        <v>18</v>
      </c>
      <c r="K59" s="7" t="s">
        <v>15</v>
      </c>
      <c r="L59" s="1"/>
      <c r="M59" s="1"/>
      <c r="N59" s="1"/>
    </row>
    <row r="60" customFormat="false" ht="15" hidden="false" customHeight="false" outlineLevel="0" collapsed="false">
      <c r="A60" s="8" t="n">
        <f aca="false">A59+1</f>
        <v>46330</v>
      </c>
      <c r="B60" s="9" t="str">
        <f aca="false">IF(COUNTIF(Mahlzeiten!$A$2:$A$501,A60)=0,"",SUMIF(Mahlzeiten!$A$2:$A$501,A60,Mahlzeiten!$D$2:$D$501))</f>
        <v/>
      </c>
      <c r="C60" s="1"/>
      <c r="D60" s="1"/>
      <c r="E60" s="1"/>
      <c r="F60" s="1"/>
      <c r="G60" s="1" t="str">
        <f aca="false">RIGHT("0"&amp;DAY(A20),2)&amp;"."&amp;RIGHT("0"&amp;MONTH(A20),2)</f>
        <v>25.09</v>
      </c>
      <c r="H60" s="1" t="n">
        <f aca="false">B20</f>
        <v>595</v>
      </c>
      <c r="I60" s="1"/>
      <c r="J60" s="1" t="str">
        <f aca="false">RIGHT("0"&amp;DAY(D20),2)&amp;"."&amp;RIGHT("0"&amp;MONTH(D20),2)</f>
        <v>21.09</v>
      </c>
      <c r="K60" s="1" t="n">
        <f aca="false">E20</f>
        <v>1890</v>
      </c>
      <c r="L60" s="1"/>
      <c r="M60" s="1"/>
      <c r="N60" s="1"/>
    </row>
    <row r="61" customFormat="false" ht="15" hidden="false" customHeight="false" outlineLevel="0" collapsed="false">
      <c r="A61" s="8" t="n">
        <f aca="false">A60+1</f>
        <v>46331</v>
      </c>
      <c r="B61" s="9" t="str">
        <f aca="false">IF(COUNTIF(Mahlzeiten!$A$2:$A$501,A61)=0,"",SUMIF(Mahlzeiten!$A$2:$A$501,A61,Mahlzeiten!$D$2:$D$501))</f>
        <v/>
      </c>
      <c r="C61" s="1"/>
      <c r="D61" s="1"/>
      <c r="E61" s="1"/>
      <c r="F61" s="1"/>
      <c r="G61" s="1" t="str">
        <f aca="false">RIGHT("0"&amp;DAY(A21),2)&amp;"."&amp;RIGHT("0"&amp;MONTH(A21),2)</f>
        <v>26.09</v>
      </c>
      <c r="H61" s="1" t="n">
        <f aca="false">B21</f>
        <v>1295</v>
      </c>
      <c r="I61" s="1"/>
      <c r="J61" s="1" t="str">
        <f aca="false">RIGHT("0"&amp;DAY(D21),2)&amp;"."&amp;RIGHT("0"&amp;MONTH(D21),2)</f>
        <v>28.09</v>
      </c>
      <c r="K61" s="1" t="n">
        <f aca="false">E21</f>
        <v>0</v>
      </c>
      <c r="L61" s="1"/>
      <c r="M61" s="1"/>
      <c r="N61" s="1"/>
    </row>
    <row r="62" customFormat="false" ht="15" hidden="false" customHeight="false" outlineLevel="0" collapsed="false">
      <c r="A62" s="8" t="n">
        <f aca="false">A61+1</f>
        <v>46332</v>
      </c>
      <c r="B62" s="9" t="str">
        <f aca="false">IF(COUNTIF(Mahlzeiten!$A$2:$A$501,A62)=0,"",SUMIF(Mahlzeiten!$A$2:$A$501,A62,Mahlzeiten!$D$2:$D$501))</f>
        <v/>
      </c>
      <c r="C62" s="1"/>
      <c r="D62" s="1"/>
      <c r="E62" s="1"/>
      <c r="F62" s="1"/>
      <c r="G62" s="1" t="str">
        <f aca="false">RIGHT("0"&amp;DAY(A22),2)&amp;"."&amp;RIGHT("0"&amp;MONTH(A22),2)</f>
        <v>27.09</v>
      </c>
      <c r="H62" s="1" t="n">
        <f aca="false">B22</f>
        <v>0</v>
      </c>
      <c r="I62" s="1"/>
      <c r="J62" s="1" t="str">
        <f aca="false">RIGHT("0"&amp;DAY(D22),2)&amp;"."&amp;RIGHT("0"&amp;MONTH(D22),2)</f>
        <v>05.10</v>
      </c>
      <c r="K62" s="1" t="n">
        <f aca="false">E22</f>
        <v>0</v>
      </c>
      <c r="L62" s="1"/>
      <c r="M62" s="1"/>
      <c r="N62" s="1"/>
    </row>
    <row r="63" customFormat="false" ht="15" hidden="false" customHeight="false" outlineLevel="0" collapsed="false">
      <c r="A63" s="8" t="n">
        <f aca="false">A62+1</f>
        <v>46333</v>
      </c>
      <c r="B63" s="9" t="str">
        <f aca="false">IF(COUNTIF(Mahlzeiten!$A$2:$A$501,A63)=0,"",SUMIF(Mahlzeiten!$A$2:$A$501,A63,Mahlzeiten!$D$2:$D$501))</f>
        <v/>
      </c>
      <c r="C63" s="1"/>
      <c r="D63" s="1"/>
      <c r="E63" s="1"/>
      <c r="F63" s="1"/>
      <c r="G63" s="1" t="str">
        <f aca="false">RIGHT("0"&amp;DAY(A23),2)&amp;"."&amp;RIGHT("0"&amp;MONTH(A23),2)</f>
        <v>28.09</v>
      </c>
      <c r="H63" s="1" t="n">
        <f aca="false">B23</f>
        <v>0</v>
      </c>
      <c r="I63" s="1"/>
      <c r="J63" s="1" t="str">
        <f aca="false">RIGHT("0"&amp;DAY(D23),2)&amp;"."&amp;RIGHT("0"&amp;MONTH(D23),2)</f>
        <v>12.10</v>
      </c>
      <c r="K63" s="1" t="n">
        <f aca="false">E23</f>
        <v>0</v>
      </c>
      <c r="L63" s="1"/>
      <c r="M63" s="1"/>
      <c r="N63" s="1"/>
    </row>
    <row r="64" customFormat="false" ht="15" hidden="false" customHeight="false" outlineLevel="0" collapsed="false">
      <c r="A64" s="8" t="n">
        <f aca="false">A63+1</f>
        <v>46334</v>
      </c>
      <c r="B64" s="9" t="str">
        <f aca="false">IF(COUNTIF(Mahlzeiten!$A$2:$A$501,A64)=0,"",SUMIF(Mahlzeiten!$A$2:$A$501,A64,Mahlzeiten!$D$2:$D$501))</f>
        <v/>
      </c>
      <c r="C64" s="1"/>
      <c r="D64" s="1"/>
      <c r="E64" s="1"/>
      <c r="F64" s="1"/>
      <c r="G64" s="1" t="str">
        <f aca="false">RIGHT("0"&amp;DAY(A24),2)&amp;"."&amp;RIGHT("0"&amp;MONTH(A24),2)</f>
        <v>29.09</v>
      </c>
      <c r="H64" s="1" t="n">
        <f aca="false">B24</f>
        <v>0</v>
      </c>
      <c r="I64" s="1"/>
      <c r="J64" s="1" t="str">
        <f aca="false">RIGHT("0"&amp;DAY(D24),2)&amp;"."&amp;RIGHT("0"&amp;MONTH(D24),2)</f>
        <v>19.10</v>
      </c>
      <c r="K64" s="1" t="n">
        <f aca="false">E24</f>
        <v>0</v>
      </c>
      <c r="L64" s="1"/>
      <c r="M64" s="1"/>
      <c r="N64" s="1"/>
    </row>
    <row r="65" customFormat="false" ht="15" hidden="false" customHeight="false" outlineLevel="0" collapsed="false">
      <c r="A65" s="8" t="n">
        <f aca="false">A64+1</f>
        <v>46335</v>
      </c>
      <c r="B65" s="9" t="str">
        <f aca="false">IF(COUNTIF(Mahlzeiten!$A$2:$A$501,A65)=0,"",SUMIF(Mahlzeiten!$A$2:$A$501,A65,Mahlzeiten!$D$2:$D$501))</f>
        <v/>
      </c>
      <c r="C65" s="1"/>
      <c r="D65" s="1"/>
      <c r="E65" s="1"/>
      <c r="F65" s="1"/>
      <c r="G65" s="1" t="str">
        <f aca="false">RIGHT("0"&amp;DAY(A25),2)&amp;"."&amp;RIGHT("0"&amp;MONTH(A25),2)</f>
        <v>30.09</v>
      </c>
      <c r="H65" s="1" t="n">
        <f aca="false">B25</f>
        <v>0</v>
      </c>
      <c r="I65" s="1"/>
      <c r="J65" s="1" t="str">
        <f aca="false">RIGHT("0"&amp;DAY(D25),2)&amp;"."&amp;RIGHT("0"&amp;MONTH(D25),2)</f>
        <v>26.10</v>
      </c>
      <c r="K65" s="1" t="n">
        <f aca="false">E25</f>
        <v>0</v>
      </c>
      <c r="L65" s="1"/>
      <c r="M65" s="1"/>
      <c r="N65" s="1"/>
    </row>
    <row r="66" customFormat="false" ht="15" hidden="false" customHeight="false" outlineLevel="0" collapsed="false">
      <c r="A66" s="8" t="n">
        <f aca="false">A65+1</f>
        <v>46336</v>
      </c>
      <c r="B66" s="9" t="str">
        <f aca="false">IF(COUNTIF(Mahlzeiten!$A$2:$A$501,A66)=0,"",SUMIF(Mahlzeiten!$A$2:$A$501,A66,Mahlzeiten!$D$2:$D$501))</f>
        <v/>
      </c>
      <c r="C66" s="1"/>
      <c r="D66" s="1"/>
      <c r="E66" s="1"/>
      <c r="F66" s="1"/>
      <c r="G66" s="1" t="str">
        <f aca="false">RIGHT("0"&amp;DAY(A26),2)&amp;"."&amp;RIGHT("0"&amp;MONTH(A26),2)</f>
        <v>01.10</v>
      </c>
      <c r="H66" s="1" t="n">
        <f aca="false">B26</f>
        <v>0</v>
      </c>
      <c r="I66" s="1"/>
      <c r="J66" s="1" t="str">
        <f aca="false">RIGHT("0"&amp;DAY(D26),2)&amp;"."&amp;RIGHT("0"&amp;MONTH(D26),2)</f>
        <v>02.11</v>
      </c>
      <c r="K66" s="1" t="n">
        <f aca="false">E26</f>
        <v>0</v>
      </c>
      <c r="L66" s="1"/>
      <c r="M66" s="1"/>
      <c r="N66" s="1"/>
    </row>
    <row r="67" customFormat="false" ht="15" hidden="false" customHeight="false" outlineLevel="0" collapsed="false">
      <c r="A67" s="8" t="n">
        <f aca="false">A66+1</f>
        <v>46337</v>
      </c>
      <c r="B67" s="9" t="str">
        <f aca="false">IF(COUNTIF(Mahlzeiten!$A$2:$A$501,A67)=0,"",SUMIF(Mahlzeiten!$A$2:$A$501,A67,Mahlzeiten!$D$2:$D$501))</f>
        <v/>
      </c>
      <c r="C67" s="1"/>
      <c r="D67" s="1"/>
      <c r="E67" s="1"/>
      <c r="F67" s="1"/>
      <c r="G67" s="1" t="str">
        <f aca="false">RIGHT("0"&amp;DAY(A27),2)&amp;"."&amp;RIGHT("0"&amp;MONTH(A27),2)</f>
        <v>02.10</v>
      </c>
      <c r="H67" s="1" t="n">
        <f aca="false">B27</f>
        <v>0</v>
      </c>
      <c r="I67" s="1"/>
      <c r="J67" s="1" t="str">
        <f aca="false">RIGHT("0"&amp;DAY(D27),2)&amp;"."&amp;RIGHT("0"&amp;MONTH(D27),2)</f>
        <v>09.11</v>
      </c>
      <c r="K67" s="1" t="n">
        <f aca="false">E27</f>
        <v>0</v>
      </c>
      <c r="L67" s="1"/>
      <c r="M67" s="1"/>
      <c r="N67" s="1"/>
    </row>
    <row r="68" customFormat="false" ht="15" hidden="false" customHeight="false" outlineLevel="0" collapsed="false">
      <c r="A68" s="8" t="n">
        <f aca="false">A67+1</f>
        <v>46338</v>
      </c>
      <c r="B68" s="9" t="str">
        <f aca="false">IF(COUNTIF(Mahlzeiten!$A$2:$A$501,A68)=0,"",SUMIF(Mahlzeiten!$A$2:$A$501,A68,Mahlzeiten!$D$2:$D$501))</f>
        <v/>
      </c>
      <c r="C68" s="1"/>
      <c r="D68" s="1"/>
      <c r="E68" s="1"/>
      <c r="F68" s="1"/>
      <c r="G68" s="1" t="str">
        <f aca="false">RIGHT("0"&amp;DAY(A28),2)&amp;"."&amp;RIGHT("0"&amp;MONTH(A28),2)</f>
        <v>03.10</v>
      </c>
      <c r="H68" s="1" t="n">
        <f aca="false">B28</f>
        <v>0</v>
      </c>
      <c r="I68" s="1"/>
      <c r="J68" s="1" t="str">
        <f aca="false">RIGHT("0"&amp;DAY(D28),2)&amp;"."&amp;RIGHT("0"&amp;MONTH(D28),2)</f>
        <v>16.11</v>
      </c>
      <c r="K68" s="1" t="n">
        <f aca="false">E28</f>
        <v>0</v>
      </c>
      <c r="L68" s="1"/>
      <c r="M68" s="1"/>
      <c r="N68" s="1"/>
    </row>
    <row r="69" customFormat="false" ht="15" hidden="false" customHeight="false" outlineLevel="0" collapsed="false">
      <c r="A69" s="8" t="n">
        <f aca="false">A68+1</f>
        <v>46339</v>
      </c>
      <c r="B69" s="9" t="str">
        <f aca="false">IF(COUNTIF(Mahlzeiten!$A$2:$A$501,A69)=0,"",SUMIF(Mahlzeiten!$A$2:$A$501,A69,Mahlzeiten!$D$2:$D$501))</f>
        <v/>
      </c>
      <c r="C69" s="1"/>
      <c r="D69" s="1"/>
      <c r="E69" s="1"/>
      <c r="F69" s="1"/>
      <c r="G69" s="1" t="str">
        <f aca="false">RIGHT("0"&amp;DAY(A29),2)&amp;"."&amp;RIGHT("0"&amp;MONTH(A29),2)</f>
        <v>04.10</v>
      </c>
      <c r="H69" s="1" t="n">
        <f aca="false">B29</f>
        <v>0</v>
      </c>
      <c r="I69" s="1"/>
      <c r="J69" s="1" t="str">
        <f aca="false">RIGHT("0"&amp;DAY(D29),2)&amp;"."&amp;RIGHT("0"&amp;MONTH(D29),2)</f>
        <v>23.11</v>
      </c>
      <c r="K69" s="1" t="n">
        <f aca="false">E29</f>
        <v>0</v>
      </c>
      <c r="L69" s="1"/>
      <c r="M69" s="1"/>
      <c r="N69" s="1"/>
    </row>
    <row r="70" customFormat="false" ht="15" hidden="false" customHeight="false" outlineLevel="0" collapsed="false">
      <c r="A70" s="8" t="n">
        <f aca="false">A69+1</f>
        <v>46340</v>
      </c>
      <c r="B70" s="9" t="str">
        <f aca="false">IF(COUNTIF(Mahlzeiten!$A$2:$A$501,A70)=0,"",SUMIF(Mahlzeiten!$A$2:$A$501,A70,Mahlzeiten!$D$2:$D$501))</f>
        <v/>
      </c>
      <c r="C70" s="1"/>
      <c r="D70" s="1"/>
      <c r="E70" s="1"/>
      <c r="F70" s="1"/>
      <c r="G70" s="1" t="str">
        <f aca="false">RIGHT("0"&amp;DAY(A30),2)&amp;"."&amp;RIGHT("0"&amp;MONTH(A30),2)</f>
        <v>05.10</v>
      </c>
      <c r="H70" s="1" t="n">
        <f aca="false">B30</f>
        <v>0</v>
      </c>
      <c r="I70" s="1"/>
      <c r="J70" s="1" t="str">
        <f aca="false">RIGHT("0"&amp;DAY(D30),2)&amp;"."&amp;RIGHT("0"&amp;MONTH(D30),2)</f>
        <v>30.11</v>
      </c>
      <c r="K70" s="1" t="n">
        <f aca="false">E30</f>
        <v>0</v>
      </c>
      <c r="L70" s="1"/>
      <c r="M70" s="1"/>
      <c r="N70" s="1"/>
    </row>
    <row r="71" customFormat="false" ht="15" hidden="false" customHeight="false" outlineLevel="0" collapsed="false">
      <c r="A71" s="8" t="n">
        <f aca="false">A70+1</f>
        <v>46341</v>
      </c>
      <c r="B71" s="9" t="str">
        <f aca="false">IF(COUNTIF(Mahlzeiten!$A$2:$A$501,A71)=0,"",SUMIF(Mahlzeiten!$A$2:$A$501,A71,Mahlzeiten!$D$2:$D$501))</f>
        <v/>
      </c>
      <c r="C71" s="1"/>
      <c r="D71" s="1"/>
      <c r="E71" s="1"/>
      <c r="F71" s="1"/>
      <c r="G71" s="1" t="str">
        <f aca="false">RIGHT("0"&amp;DAY(A31),2)&amp;"."&amp;RIGHT("0"&amp;MONTH(A31),2)</f>
        <v>06.10</v>
      </c>
      <c r="H71" s="1" t="n">
        <f aca="false">B31</f>
        <v>0</v>
      </c>
      <c r="I71" s="1"/>
      <c r="J71" s="1" t="str">
        <f aca="false">RIGHT("0"&amp;DAY(D31),2)&amp;"."&amp;RIGHT("0"&amp;MONTH(D31),2)</f>
        <v>07.12</v>
      </c>
      <c r="K71" s="1" t="n">
        <f aca="false">E31</f>
        <v>0</v>
      </c>
      <c r="L71" s="1"/>
      <c r="M71" s="1"/>
      <c r="N71" s="1"/>
    </row>
    <row r="72" customFormat="false" ht="15" hidden="false" customHeight="false" outlineLevel="0" collapsed="false">
      <c r="A72" s="8" t="n">
        <f aca="false">A71+1</f>
        <v>46342</v>
      </c>
      <c r="B72" s="9" t="str">
        <f aca="false">IF(COUNTIF(Mahlzeiten!$A$2:$A$501,A72)=0,"",SUMIF(Mahlzeiten!$A$2:$A$501,A72,Mahlzeiten!$D$2:$D$501))</f>
        <v/>
      </c>
      <c r="C72" s="1"/>
      <c r="D72" s="1"/>
      <c r="E72" s="1"/>
      <c r="F72" s="1"/>
      <c r="G72" s="1" t="str">
        <f aca="false">RIGHT("0"&amp;DAY(A32),2)&amp;"."&amp;RIGHT("0"&amp;MONTH(A32),2)</f>
        <v>07.10</v>
      </c>
      <c r="H72" s="1" t="n">
        <f aca="false">B32</f>
        <v>0</v>
      </c>
      <c r="I72" s="1"/>
      <c r="J72" s="1"/>
      <c r="K72" s="1"/>
      <c r="L72" s="1"/>
      <c r="M72" s="1"/>
      <c r="N72" s="1"/>
    </row>
    <row r="73" customFormat="false" ht="15" hidden="false" customHeight="false" outlineLevel="0" collapsed="false">
      <c r="A73" s="8" t="n">
        <f aca="false">A72+1</f>
        <v>46343</v>
      </c>
      <c r="B73" s="9" t="str">
        <f aca="false">IF(COUNTIF(Mahlzeiten!$A$2:$A$501,A73)=0,"",SUMIF(Mahlzeiten!$A$2:$A$501,A73,Mahlzeiten!$D$2:$D$501))</f>
        <v/>
      </c>
      <c r="C73" s="1"/>
      <c r="D73" s="1"/>
      <c r="E73" s="1"/>
      <c r="F73" s="1"/>
      <c r="G73" s="1" t="str">
        <f aca="false">RIGHT("0"&amp;DAY(A33),2)&amp;"."&amp;RIGHT("0"&amp;MONTH(A33),2)</f>
        <v>08.10</v>
      </c>
      <c r="H73" s="1" t="n">
        <f aca="false">B33</f>
        <v>0</v>
      </c>
      <c r="I73" s="1"/>
      <c r="J73" s="1"/>
      <c r="K73" s="1"/>
      <c r="L73" s="1"/>
      <c r="M73" s="1"/>
      <c r="N73" s="1"/>
    </row>
    <row r="74" customFormat="false" ht="15" hidden="false" customHeight="false" outlineLevel="0" collapsed="false">
      <c r="A74" s="8" t="n">
        <f aca="false">A73+1</f>
        <v>46344</v>
      </c>
      <c r="B74" s="9" t="str">
        <f aca="false">IF(COUNTIF(Mahlzeiten!$A$2:$A$501,A74)=0,"",SUMIF(Mahlzeiten!$A$2:$A$501,A74,Mahlzeiten!$D$2:$D$501))</f>
        <v/>
      </c>
      <c r="C74" s="1"/>
      <c r="D74" s="1"/>
      <c r="E74" s="1"/>
      <c r="F74" s="1"/>
      <c r="G74" s="1" t="str">
        <f aca="false">RIGHT("0"&amp;DAY(A34),2)&amp;"."&amp;RIGHT("0"&amp;MONTH(A34),2)</f>
        <v>09.10</v>
      </c>
      <c r="H74" s="1" t="n">
        <f aca="false">B34</f>
        <v>0</v>
      </c>
      <c r="I74" s="1"/>
      <c r="J74" s="1"/>
      <c r="K74" s="1"/>
      <c r="L74" s="1"/>
      <c r="M74" s="1"/>
      <c r="N74" s="1"/>
    </row>
    <row r="75" customFormat="false" ht="15" hidden="false" customHeight="false" outlineLevel="0" collapsed="false">
      <c r="A75" s="8" t="n">
        <f aca="false">A74+1</f>
        <v>46345</v>
      </c>
      <c r="B75" s="9" t="str">
        <f aca="false">IF(COUNTIF(Mahlzeiten!$A$2:$A$501,A75)=0,"",SUMIF(Mahlzeiten!$A$2:$A$501,A75,Mahlzeiten!$D$2:$D$501))</f>
        <v/>
      </c>
      <c r="C75" s="1"/>
      <c r="D75" s="1"/>
      <c r="E75" s="1"/>
      <c r="F75" s="1"/>
      <c r="G75" s="1" t="str">
        <f aca="false">RIGHT("0"&amp;DAY(A35),2)&amp;"."&amp;RIGHT("0"&amp;MONTH(A35),2)</f>
        <v>10.10</v>
      </c>
      <c r="H75" s="1" t="n">
        <f aca="false">B35</f>
        <v>0</v>
      </c>
      <c r="I75" s="1"/>
      <c r="J75" s="1"/>
      <c r="K75" s="1"/>
      <c r="L75" s="1"/>
      <c r="M75" s="1"/>
      <c r="N75" s="1"/>
    </row>
    <row r="76" customFormat="false" ht="15" hidden="false" customHeight="false" outlineLevel="0" collapsed="false">
      <c r="A76" s="8" t="n">
        <f aca="false">A75+1</f>
        <v>46346</v>
      </c>
      <c r="B76" s="9" t="str">
        <f aca="false">IF(COUNTIF(Mahlzeiten!$A$2:$A$501,A76)=0,"",SUMIF(Mahlzeiten!$A$2:$A$501,A76,Mahlzeiten!$D$2:$D$501))</f>
        <v/>
      </c>
      <c r="C76" s="1"/>
      <c r="D76" s="1"/>
      <c r="E76" s="1"/>
      <c r="F76" s="1"/>
      <c r="G76" s="1" t="str">
        <f aca="false">RIGHT("0"&amp;DAY(A36),2)&amp;"."&amp;RIGHT("0"&amp;MONTH(A36),2)</f>
        <v>11.10</v>
      </c>
      <c r="H76" s="1" t="n">
        <f aca="false">B36</f>
        <v>0</v>
      </c>
      <c r="I76" s="1"/>
      <c r="J76" s="1"/>
      <c r="K76" s="1"/>
      <c r="L76" s="1"/>
      <c r="M76" s="1"/>
      <c r="N76" s="1"/>
    </row>
    <row r="77" customFormat="false" ht="15" hidden="false" customHeight="false" outlineLevel="0" collapsed="false">
      <c r="A77" s="8" t="n">
        <f aca="false">A76+1</f>
        <v>46347</v>
      </c>
      <c r="B77" s="9" t="str">
        <f aca="false">IF(COUNTIF(Mahlzeiten!$A$2:$A$501,A77)=0,"",SUMIF(Mahlzeiten!$A$2:$A$501,A77,Mahlzeiten!$D$2:$D$501))</f>
        <v/>
      </c>
      <c r="C77" s="1"/>
      <c r="D77" s="1"/>
      <c r="E77" s="1"/>
      <c r="F77" s="1"/>
      <c r="G77" s="1" t="str">
        <f aca="false">RIGHT("0"&amp;DAY(A37),2)&amp;"."&amp;RIGHT("0"&amp;MONTH(A37),2)</f>
        <v>12.10</v>
      </c>
      <c r="H77" s="1" t="n">
        <f aca="false">B37</f>
        <v>0</v>
      </c>
      <c r="I77" s="1"/>
      <c r="J77" s="1"/>
      <c r="K77" s="1"/>
      <c r="L77" s="1"/>
      <c r="M77" s="1"/>
      <c r="N77" s="1"/>
    </row>
    <row r="78" customFormat="false" ht="15" hidden="false" customHeight="false" outlineLevel="0" collapsed="false">
      <c r="A78" s="8" t="n">
        <f aca="false">A77+1</f>
        <v>46348</v>
      </c>
      <c r="B78" s="9" t="str">
        <f aca="false">IF(COUNTIF(Mahlzeiten!$A$2:$A$501,A78)=0,"",SUMIF(Mahlzeiten!$A$2:$A$501,A78,Mahlzeiten!$D$2:$D$501))</f>
        <v/>
      </c>
      <c r="C78" s="1"/>
      <c r="D78" s="1"/>
      <c r="E78" s="1"/>
      <c r="F78" s="1"/>
      <c r="G78" s="1" t="str">
        <f aca="false">RIGHT("0"&amp;DAY(A38),2)&amp;"."&amp;RIGHT("0"&amp;MONTH(A38),2)</f>
        <v>13.10</v>
      </c>
      <c r="H78" s="1" t="n">
        <f aca="false">B38</f>
        <v>0</v>
      </c>
      <c r="I78" s="1"/>
      <c r="J78" s="1"/>
      <c r="K78" s="1"/>
      <c r="L78" s="1"/>
      <c r="M78" s="1"/>
      <c r="N78" s="1"/>
    </row>
    <row r="79" customFormat="false" ht="15" hidden="false" customHeight="false" outlineLevel="0" collapsed="false">
      <c r="A79" s="8" t="n">
        <f aca="false">A78+1</f>
        <v>46349</v>
      </c>
      <c r="B79" s="9" t="str">
        <f aca="false">IF(COUNTIF(Mahlzeiten!$A$2:$A$501,A79)=0,"",SUMIF(Mahlzeiten!$A$2:$A$501,A79,Mahlzeiten!$D$2:$D$501))</f>
        <v/>
      </c>
      <c r="C79" s="1"/>
      <c r="D79" s="1"/>
      <c r="E79" s="1"/>
      <c r="F79" s="1"/>
      <c r="G79" s="1" t="str">
        <f aca="false">RIGHT("0"&amp;DAY(A39),2)&amp;"."&amp;RIGHT("0"&amp;MONTH(A39),2)</f>
        <v>14.10</v>
      </c>
      <c r="H79" s="1" t="n">
        <f aca="false">B39</f>
        <v>0</v>
      </c>
      <c r="I79" s="1"/>
      <c r="J79" s="1"/>
      <c r="K79" s="1"/>
      <c r="L79" s="1"/>
      <c r="M79" s="1"/>
      <c r="N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 t="str">
        <f aca="false">RIGHT("0"&amp;DAY(A40),2)&amp;"."&amp;RIGHT("0"&amp;MONTH(A40),2)</f>
        <v>15.10</v>
      </c>
      <c r="H80" s="1" t="n">
        <f aca="false">B40</f>
        <v>0</v>
      </c>
      <c r="I80" s="1"/>
      <c r="J80" s="1"/>
      <c r="K80" s="1"/>
      <c r="L80" s="1"/>
      <c r="M80" s="1"/>
      <c r="N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 t="str">
        <f aca="false">RIGHT("0"&amp;DAY(A41),2)&amp;"."&amp;RIGHT("0"&amp;MONTH(A41),2)</f>
        <v>16.10</v>
      </c>
      <c r="H81" s="1" t="n">
        <f aca="false">B41</f>
        <v>0</v>
      </c>
      <c r="I81" s="1"/>
      <c r="J81" s="1"/>
      <c r="K81" s="1"/>
      <c r="L81" s="1"/>
      <c r="M81" s="1"/>
      <c r="N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 t="str">
        <f aca="false">RIGHT("0"&amp;DAY(A42),2)&amp;"."&amp;RIGHT("0"&amp;MONTH(A42),2)</f>
        <v>17.10</v>
      </c>
      <c r="H82" s="1" t="n">
        <f aca="false">B42</f>
        <v>0</v>
      </c>
      <c r="I82" s="1"/>
      <c r="J82" s="1"/>
      <c r="K82" s="1"/>
      <c r="L82" s="1"/>
      <c r="M82" s="1"/>
      <c r="N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 t="str">
        <f aca="false">RIGHT("0"&amp;DAY(A43),2)&amp;"."&amp;RIGHT("0"&amp;MONTH(A43),2)</f>
        <v>18.10</v>
      </c>
      <c r="H83" s="1" t="n">
        <f aca="false">B43</f>
        <v>0</v>
      </c>
      <c r="I83" s="1"/>
      <c r="J83" s="1"/>
      <c r="K83" s="1"/>
      <c r="L83" s="1"/>
      <c r="M83" s="1"/>
      <c r="N83" s="1"/>
    </row>
    <row r="84" customFormat="false" ht="15" hidden="false" customHeight="false" outlineLevel="0" collapsed="false">
      <c r="G84" s="0" t="str">
        <f aca="false">RIGHT("0"&amp;DAY(A44),2)&amp;"."&amp;RIGHT("0"&amp;MONTH(A44),2)</f>
        <v>19.10</v>
      </c>
      <c r="H84" s="0" t="n">
        <f aca="false">B44</f>
        <v>0</v>
      </c>
    </row>
    <row r="85" customFormat="false" ht="15" hidden="false" customHeight="false" outlineLevel="0" collapsed="false">
      <c r="G85" s="0" t="str">
        <f aca="false">RIGHT("0"&amp;DAY(A45),2)&amp;"."&amp;RIGHT("0"&amp;MONTH(A45),2)</f>
        <v>20.10</v>
      </c>
      <c r="H85" s="0" t="n">
        <f aca="false">B45</f>
        <v>0</v>
      </c>
    </row>
    <row r="86" customFormat="false" ht="15" hidden="false" customHeight="false" outlineLevel="0" collapsed="false">
      <c r="G86" s="0" t="str">
        <f aca="false">RIGHT("0"&amp;DAY(A46),2)&amp;"."&amp;RIGHT("0"&amp;MONTH(A46),2)</f>
        <v>21.10</v>
      </c>
      <c r="H86" s="0" t="n">
        <f aca="false">B46</f>
        <v>0</v>
      </c>
    </row>
    <row r="87" customFormat="false" ht="15" hidden="false" customHeight="false" outlineLevel="0" collapsed="false">
      <c r="G87" s="0" t="str">
        <f aca="false">RIGHT("0"&amp;DAY(A47),2)&amp;"."&amp;RIGHT("0"&amp;MONTH(A47),2)</f>
        <v>22.10</v>
      </c>
      <c r="H87" s="0" t="n">
        <f aca="false">B47</f>
        <v>0</v>
      </c>
    </row>
    <row r="88" customFormat="false" ht="15" hidden="false" customHeight="false" outlineLevel="0" collapsed="false">
      <c r="G88" s="0" t="str">
        <f aca="false">RIGHT("0"&amp;DAY(A48),2)&amp;"."&amp;RIGHT("0"&amp;MONTH(A48),2)</f>
        <v>23.10</v>
      </c>
      <c r="H88" s="0" t="n">
        <f aca="false">B48</f>
        <v>0</v>
      </c>
    </row>
    <row r="89" customFormat="false" ht="15" hidden="false" customHeight="false" outlineLevel="0" collapsed="false">
      <c r="G89" s="0" t="str">
        <f aca="false">RIGHT("0"&amp;DAY(A49),2)&amp;"."&amp;RIGHT("0"&amp;MONTH(A49),2)</f>
        <v>24.10</v>
      </c>
      <c r="H89" s="0" t="n">
        <f aca="false">B49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0"/>
    <col collapsed="false" customWidth="true" hidden="false" outlineLevel="0" max="3" min="3" style="0" width="39"/>
    <col collapsed="false" customWidth="true" hidden="false" outlineLevel="0" max="7" min="4" style="0" width="19"/>
  </cols>
  <sheetData>
    <row r="1" customFormat="false" ht="15" hidden="false" customHeight="false" outlineLevel="0" collapsed="false">
      <c r="A1" s="12" t="s">
        <v>14</v>
      </c>
      <c r="B1" s="12" t="s">
        <v>19</v>
      </c>
      <c r="C1" s="12" t="s">
        <v>20</v>
      </c>
      <c r="D1" s="12" t="s">
        <v>15</v>
      </c>
      <c r="E1" s="12" t="s">
        <v>4</v>
      </c>
      <c r="F1" s="12" t="s">
        <v>5</v>
      </c>
      <c r="G1" s="12" t="s">
        <v>6</v>
      </c>
    </row>
    <row r="2" customFormat="false" ht="15" hidden="false" customHeight="false" outlineLevel="0" collapsed="false">
      <c r="A2" s="8" t="n">
        <v>46290</v>
      </c>
      <c r="B2" s="1" t="s">
        <v>21</v>
      </c>
      <c r="C2" s="1" t="s">
        <v>22</v>
      </c>
      <c r="D2" s="13" t="n">
        <v>595</v>
      </c>
      <c r="E2" s="13" t="n">
        <v>41</v>
      </c>
      <c r="F2" s="13" t="n">
        <v>36</v>
      </c>
      <c r="G2" s="13" t="n">
        <v>31</v>
      </c>
    </row>
    <row r="3" customFormat="false" ht="15" hidden="false" customHeight="false" outlineLevel="0" collapsed="false">
      <c r="A3" s="8" t="n">
        <v>46291</v>
      </c>
      <c r="B3" s="1" t="s">
        <v>23</v>
      </c>
      <c r="C3" s="1" t="s">
        <v>24</v>
      </c>
      <c r="D3" s="13" t="n">
        <v>1295</v>
      </c>
      <c r="E3" s="13" t="n">
        <v>58</v>
      </c>
      <c r="F3" s="13" t="n">
        <v>117</v>
      </c>
      <c r="G3" s="13" t="n">
        <v>65</v>
      </c>
    </row>
    <row r="4" customFormat="false" ht="15" hidden="false" customHeight="false" outlineLevel="0" collapsed="false">
      <c r="A4" s="8"/>
      <c r="B4" s="1"/>
      <c r="C4" s="1"/>
      <c r="D4" s="13"/>
      <c r="E4" s="13"/>
      <c r="F4" s="13"/>
      <c r="G4" s="13"/>
    </row>
    <row r="5" customFormat="false" ht="15" hidden="false" customHeight="false" outlineLevel="0" collapsed="false">
      <c r="A5" s="8"/>
      <c r="B5" s="1"/>
      <c r="C5" s="1"/>
      <c r="D5" s="13"/>
      <c r="E5" s="13"/>
      <c r="F5" s="13"/>
      <c r="G5" s="13"/>
    </row>
    <row r="6" customFormat="false" ht="15" hidden="false" customHeight="false" outlineLevel="0" collapsed="false">
      <c r="A6" s="8"/>
      <c r="B6" s="1"/>
      <c r="C6" s="1"/>
      <c r="D6" s="13"/>
      <c r="E6" s="13"/>
      <c r="F6" s="13"/>
      <c r="G6" s="13"/>
    </row>
    <row r="7" customFormat="false" ht="15" hidden="false" customHeight="false" outlineLevel="0" collapsed="false">
      <c r="A7" s="8"/>
      <c r="B7" s="1"/>
      <c r="C7" s="1"/>
      <c r="D7" s="13"/>
      <c r="E7" s="13"/>
      <c r="F7" s="13"/>
      <c r="G7" s="13"/>
    </row>
    <row r="8" customFormat="false" ht="15" hidden="false" customHeight="false" outlineLevel="0" collapsed="false">
      <c r="A8" s="8"/>
      <c r="B8" s="1"/>
      <c r="C8" s="1"/>
      <c r="D8" s="13"/>
      <c r="E8" s="13"/>
      <c r="F8" s="13"/>
      <c r="G8" s="13"/>
    </row>
    <row r="9" customFormat="false" ht="15" hidden="false" customHeight="false" outlineLevel="0" collapsed="false">
      <c r="A9" s="8"/>
      <c r="B9" s="1"/>
      <c r="C9" s="1"/>
      <c r="D9" s="13"/>
      <c r="E9" s="13"/>
      <c r="F9" s="13"/>
      <c r="G9" s="13"/>
    </row>
    <row r="10" customFormat="false" ht="15" hidden="false" customHeight="false" outlineLevel="0" collapsed="false">
      <c r="A10" s="8"/>
      <c r="B10" s="1"/>
      <c r="C10" s="1"/>
      <c r="D10" s="13"/>
      <c r="E10" s="13"/>
      <c r="F10" s="13"/>
      <c r="G10" s="13"/>
    </row>
    <row r="11" customFormat="false" ht="15" hidden="false" customHeight="false" outlineLevel="0" collapsed="false">
      <c r="A11" s="8"/>
      <c r="B11" s="1"/>
      <c r="C11" s="1"/>
      <c r="D11" s="13"/>
      <c r="E11" s="13"/>
      <c r="F11" s="13"/>
      <c r="G11" s="13"/>
    </row>
    <row r="12" customFormat="false" ht="15" hidden="false" customHeight="false" outlineLevel="0" collapsed="false">
      <c r="A12" s="8"/>
      <c r="B12" s="1"/>
      <c r="C12" s="1"/>
      <c r="D12" s="13"/>
      <c r="E12" s="13"/>
      <c r="F12" s="13"/>
      <c r="G12" s="13"/>
    </row>
    <row r="13" customFormat="false" ht="15" hidden="false" customHeight="false" outlineLevel="0" collapsed="false">
      <c r="A13" s="8"/>
      <c r="B13" s="1"/>
      <c r="C13" s="1"/>
      <c r="D13" s="13"/>
      <c r="E13" s="13"/>
      <c r="F13" s="13"/>
      <c r="G13" s="13"/>
    </row>
    <row r="14" customFormat="false" ht="15" hidden="false" customHeight="false" outlineLevel="0" collapsed="false">
      <c r="A14" s="8"/>
      <c r="B14" s="1"/>
      <c r="C14" s="1"/>
      <c r="D14" s="13"/>
      <c r="E14" s="13"/>
      <c r="F14" s="13"/>
      <c r="G14" s="13"/>
    </row>
    <row r="15" customFormat="false" ht="15" hidden="false" customHeight="false" outlineLevel="0" collapsed="false">
      <c r="A15" s="8"/>
      <c r="B15" s="1"/>
      <c r="C15" s="1"/>
      <c r="D15" s="13"/>
      <c r="E15" s="13"/>
      <c r="F15" s="13"/>
      <c r="G15" s="13"/>
    </row>
    <row r="16" customFormat="false" ht="15" hidden="false" customHeight="false" outlineLevel="0" collapsed="false">
      <c r="A16" s="8"/>
      <c r="B16" s="1"/>
      <c r="C16" s="1"/>
      <c r="D16" s="13"/>
      <c r="E16" s="13"/>
      <c r="F16" s="13"/>
      <c r="G16" s="13"/>
    </row>
    <row r="17" customFormat="false" ht="15" hidden="false" customHeight="false" outlineLevel="0" collapsed="false">
      <c r="A17" s="8"/>
      <c r="B17" s="1"/>
      <c r="C17" s="1"/>
      <c r="D17" s="13"/>
      <c r="E17" s="13"/>
      <c r="F17" s="13"/>
      <c r="G17" s="13"/>
    </row>
    <row r="18" customFormat="false" ht="15" hidden="false" customHeight="false" outlineLevel="0" collapsed="false">
      <c r="A18" s="8"/>
      <c r="B18" s="1"/>
      <c r="C18" s="1"/>
      <c r="D18" s="13"/>
      <c r="E18" s="13"/>
      <c r="F18" s="13"/>
      <c r="G18" s="13"/>
    </row>
    <row r="19" customFormat="false" ht="15" hidden="false" customHeight="false" outlineLevel="0" collapsed="false">
      <c r="A19" s="8"/>
      <c r="B19" s="1"/>
      <c r="C19" s="1"/>
      <c r="D19" s="13"/>
      <c r="E19" s="13"/>
      <c r="F19" s="13"/>
      <c r="G19" s="13"/>
    </row>
    <row r="20" customFormat="false" ht="15" hidden="false" customHeight="false" outlineLevel="0" collapsed="false">
      <c r="A20" s="8"/>
      <c r="B20" s="1"/>
      <c r="C20" s="1"/>
      <c r="D20" s="13"/>
      <c r="E20" s="13"/>
      <c r="F20" s="13"/>
      <c r="G20" s="13"/>
    </row>
    <row r="21" customFormat="false" ht="15" hidden="false" customHeight="false" outlineLevel="0" collapsed="false">
      <c r="A21" s="8"/>
      <c r="B21" s="1"/>
      <c r="C21" s="1"/>
      <c r="D21" s="13"/>
      <c r="E21" s="13"/>
      <c r="F21" s="13"/>
      <c r="G21" s="13"/>
    </row>
    <row r="22" customFormat="false" ht="15" hidden="false" customHeight="false" outlineLevel="0" collapsed="false">
      <c r="A22" s="8"/>
      <c r="B22" s="1"/>
      <c r="C22" s="1"/>
      <c r="D22" s="13"/>
      <c r="E22" s="13"/>
      <c r="F22" s="13"/>
      <c r="G22" s="13"/>
    </row>
    <row r="23" customFormat="false" ht="15" hidden="false" customHeight="false" outlineLevel="0" collapsed="false">
      <c r="A23" s="8"/>
      <c r="B23" s="1"/>
      <c r="C23" s="1"/>
      <c r="D23" s="13"/>
      <c r="E23" s="13"/>
      <c r="F23" s="13"/>
      <c r="G23" s="13"/>
    </row>
    <row r="24" customFormat="false" ht="15" hidden="false" customHeight="false" outlineLevel="0" collapsed="false">
      <c r="A24" s="8"/>
      <c r="B24" s="1"/>
      <c r="C24" s="1"/>
      <c r="D24" s="13"/>
      <c r="E24" s="13"/>
      <c r="F24" s="13"/>
      <c r="G24" s="13"/>
    </row>
    <row r="25" customFormat="false" ht="15" hidden="false" customHeight="false" outlineLevel="0" collapsed="false">
      <c r="A25" s="8"/>
      <c r="B25" s="1"/>
      <c r="C25" s="1"/>
      <c r="D25" s="13"/>
      <c r="E25" s="13"/>
      <c r="F25" s="13"/>
      <c r="G25" s="13"/>
    </row>
    <row r="26" customFormat="false" ht="15" hidden="false" customHeight="false" outlineLevel="0" collapsed="false">
      <c r="A26" s="8"/>
      <c r="B26" s="1"/>
      <c r="C26" s="1"/>
      <c r="D26" s="13"/>
      <c r="E26" s="13"/>
      <c r="F26" s="13"/>
      <c r="G26" s="13"/>
    </row>
    <row r="27" customFormat="false" ht="15" hidden="false" customHeight="false" outlineLevel="0" collapsed="false">
      <c r="A27" s="8"/>
      <c r="B27" s="1"/>
      <c r="C27" s="1"/>
      <c r="D27" s="13"/>
      <c r="E27" s="13"/>
      <c r="F27" s="13"/>
      <c r="G27" s="13"/>
    </row>
    <row r="28" customFormat="false" ht="15" hidden="false" customHeight="false" outlineLevel="0" collapsed="false">
      <c r="A28" s="8"/>
      <c r="B28" s="1"/>
      <c r="C28" s="1"/>
      <c r="D28" s="13"/>
      <c r="E28" s="13"/>
      <c r="F28" s="13"/>
      <c r="G28" s="13"/>
    </row>
    <row r="29" customFormat="false" ht="15" hidden="false" customHeight="false" outlineLevel="0" collapsed="false">
      <c r="A29" s="8"/>
      <c r="B29" s="1"/>
      <c r="C29" s="1"/>
      <c r="D29" s="13"/>
      <c r="E29" s="13"/>
      <c r="F29" s="13"/>
      <c r="G29" s="13"/>
    </row>
    <row r="30" customFormat="false" ht="15" hidden="false" customHeight="false" outlineLevel="0" collapsed="false">
      <c r="A30" s="8"/>
      <c r="B30" s="1"/>
      <c r="C30" s="1"/>
      <c r="D30" s="13"/>
      <c r="E30" s="13"/>
      <c r="F30" s="13"/>
      <c r="G30" s="13"/>
    </row>
    <row r="31" customFormat="false" ht="15" hidden="false" customHeight="false" outlineLevel="0" collapsed="false">
      <c r="A31" s="8"/>
      <c r="B31" s="1"/>
      <c r="C31" s="1"/>
      <c r="D31" s="13"/>
      <c r="E31" s="13"/>
      <c r="F31" s="13"/>
      <c r="G31" s="13"/>
    </row>
    <row r="32" customFormat="false" ht="15" hidden="false" customHeight="false" outlineLevel="0" collapsed="false">
      <c r="A32" s="8"/>
      <c r="B32" s="1"/>
      <c r="C32" s="1"/>
      <c r="D32" s="13"/>
      <c r="E32" s="13"/>
      <c r="F32" s="13"/>
      <c r="G32" s="13"/>
    </row>
    <row r="33" customFormat="false" ht="15" hidden="false" customHeight="false" outlineLevel="0" collapsed="false">
      <c r="A33" s="8"/>
      <c r="B33" s="1"/>
      <c r="C33" s="1"/>
      <c r="D33" s="13"/>
      <c r="E33" s="13"/>
      <c r="F33" s="13"/>
      <c r="G33" s="13"/>
    </row>
    <row r="34" customFormat="false" ht="15" hidden="false" customHeight="false" outlineLevel="0" collapsed="false">
      <c r="A34" s="8"/>
      <c r="B34" s="1"/>
      <c r="C34" s="1"/>
      <c r="D34" s="13"/>
      <c r="E34" s="13"/>
      <c r="F34" s="13"/>
      <c r="G34" s="13"/>
    </row>
    <row r="35" customFormat="false" ht="15" hidden="false" customHeight="false" outlineLevel="0" collapsed="false">
      <c r="A35" s="8"/>
      <c r="B35" s="1"/>
      <c r="C35" s="1"/>
      <c r="D35" s="13"/>
      <c r="E35" s="13"/>
      <c r="F35" s="13"/>
      <c r="G35" s="13"/>
    </row>
    <row r="36" customFormat="false" ht="15" hidden="false" customHeight="false" outlineLevel="0" collapsed="false">
      <c r="A36" s="8"/>
      <c r="B36" s="1"/>
      <c r="C36" s="1"/>
      <c r="D36" s="13"/>
      <c r="E36" s="13"/>
      <c r="F36" s="13"/>
      <c r="G36" s="13"/>
    </row>
    <row r="37" customFormat="false" ht="15" hidden="false" customHeight="false" outlineLevel="0" collapsed="false">
      <c r="A37" s="8"/>
      <c r="B37" s="1"/>
      <c r="C37" s="1"/>
      <c r="D37" s="13"/>
      <c r="E37" s="13"/>
      <c r="F37" s="13"/>
      <c r="G37" s="13"/>
    </row>
    <row r="38" customFormat="false" ht="15" hidden="false" customHeight="false" outlineLevel="0" collapsed="false">
      <c r="A38" s="8"/>
      <c r="B38" s="1"/>
      <c r="C38" s="1"/>
      <c r="D38" s="13"/>
      <c r="E38" s="13"/>
      <c r="F38" s="13"/>
      <c r="G38" s="13"/>
    </row>
    <row r="39" customFormat="false" ht="15" hidden="false" customHeight="false" outlineLevel="0" collapsed="false">
      <c r="A39" s="8"/>
      <c r="B39" s="1"/>
      <c r="C39" s="1"/>
      <c r="D39" s="13"/>
      <c r="E39" s="13"/>
      <c r="F39" s="13"/>
      <c r="G39" s="13"/>
    </row>
    <row r="40" customFormat="false" ht="15" hidden="false" customHeight="false" outlineLevel="0" collapsed="false">
      <c r="A40" s="8"/>
      <c r="B40" s="1"/>
      <c r="C40" s="1"/>
      <c r="D40" s="13"/>
      <c r="E40" s="13"/>
      <c r="F40" s="13"/>
      <c r="G40" s="13"/>
    </row>
    <row r="41" customFormat="false" ht="15" hidden="false" customHeight="false" outlineLevel="0" collapsed="false">
      <c r="A41" s="8"/>
      <c r="B41" s="1"/>
      <c r="C41" s="1"/>
      <c r="D41" s="13"/>
      <c r="E41" s="13"/>
      <c r="F41" s="13"/>
      <c r="G41" s="13"/>
    </row>
    <row r="42" customFormat="false" ht="15" hidden="false" customHeight="false" outlineLevel="0" collapsed="false">
      <c r="A42" s="8"/>
      <c r="B42" s="1"/>
      <c r="C42" s="1"/>
      <c r="D42" s="13"/>
      <c r="E42" s="13"/>
      <c r="F42" s="13"/>
      <c r="G42" s="13"/>
    </row>
    <row r="43" customFormat="false" ht="15" hidden="false" customHeight="false" outlineLevel="0" collapsed="false">
      <c r="A43" s="8"/>
      <c r="B43" s="1"/>
      <c r="C43" s="1"/>
      <c r="D43" s="13"/>
      <c r="E43" s="13"/>
      <c r="F43" s="13"/>
      <c r="G43" s="13"/>
    </row>
    <row r="44" customFormat="false" ht="15" hidden="false" customHeight="false" outlineLevel="0" collapsed="false">
      <c r="A44" s="8"/>
      <c r="B44" s="1"/>
      <c r="C44" s="1"/>
      <c r="D44" s="13"/>
      <c r="E44" s="13"/>
      <c r="F44" s="13"/>
      <c r="G44" s="13"/>
    </row>
    <row r="45" customFormat="false" ht="15" hidden="false" customHeight="false" outlineLevel="0" collapsed="false">
      <c r="A45" s="8"/>
      <c r="B45" s="1"/>
      <c r="C45" s="1"/>
      <c r="D45" s="13"/>
      <c r="E45" s="13"/>
      <c r="F45" s="13"/>
      <c r="G45" s="13"/>
    </row>
    <row r="46" customFormat="false" ht="15" hidden="false" customHeight="false" outlineLevel="0" collapsed="false">
      <c r="A46" s="8"/>
      <c r="B46" s="1"/>
      <c r="C46" s="1"/>
      <c r="D46" s="13"/>
      <c r="E46" s="13"/>
      <c r="F46" s="13"/>
      <c r="G46" s="13"/>
    </row>
    <row r="47" customFormat="false" ht="15" hidden="false" customHeight="false" outlineLevel="0" collapsed="false">
      <c r="A47" s="8"/>
      <c r="B47" s="1"/>
      <c r="C47" s="1"/>
      <c r="D47" s="13"/>
      <c r="E47" s="13"/>
      <c r="F47" s="13"/>
      <c r="G47" s="13"/>
    </row>
    <row r="48" customFormat="false" ht="15" hidden="false" customHeight="false" outlineLevel="0" collapsed="false">
      <c r="A48" s="8"/>
      <c r="B48" s="1"/>
      <c r="C48" s="1"/>
      <c r="D48" s="13"/>
      <c r="E48" s="13"/>
      <c r="F48" s="13"/>
      <c r="G48" s="13"/>
    </row>
    <row r="49" customFormat="false" ht="15" hidden="false" customHeight="false" outlineLevel="0" collapsed="false">
      <c r="A49" s="8"/>
      <c r="B49" s="1"/>
      <c r="C49" s="1"/>
      <c r="D49" s="13"/>
      <c r="E49" s="13"/>
      <c r="F49" s="13"/>
      <c r="G49" s="13"/>
    </row>
    <row r="50" customFormat="false" ht="15" hidden="false" customHeight="false" outlineLevel="0" collapsed="false">
      <c r="A50" s="8"/>
      <c r="B50" s="1"/>
      <c r="C50" s="1"/>
      <c r="D50" s="13"/>
      <c r="E50" s="13"/>
      <c r="F50" s="13"/>
      <c r="G50" s="13"/>
    </row>
    <row r="51" customFormat="false" ht="15" hidden="false" customHeight="false" outlineLevel="0" collapsed="false">
      <c r="A51" s="8"/>
      <c r="B51" s="1"/>
      <c r="C51" s="1"/>
      <c r="D51" s="13"/>
      <c r="E51" s="13"/>
      <c r="F51" s="13"/>
      <c r="G51" s="13"/>
    </row>
    <row r="52" customFormat="false" ht="15" hidden="false" customHeight="false" outlineLevel="0" collapsed="false">
      <c r="A52" s="8"/>
      <c r="B52" s="1"/>
      <c r="C52" s="1"/>
      <c r="D52" s="13"/>
      <c r="E52" s="13"/>
      <c r="F52" s="13"/>
      <c r="G52" s="13"/>
    </row>
    <row r="53" customFormat="false" ht="15" hidden="false" customHeight="false" outlineLevel="0" collapsed="false">
      <c r="A53" s="8"/>
      <c r="B53" s="1"/>
      <c r="C53" s="1"/>
      <c r="D53" s="13"/>
      <c r="E53" s="13"/>
      <c r="F53" s="13"/>
      <c r="G53" s="13"/>
    </row>
    <row r="54" customFormat="false" ht="15" hidden="false" customHeight="false" outlineLevel="0" collapsed="false">
      <c r="A54" s="8"/>
      <c r="B54" s="1"/>
      <c r="C54" s="1"/>
      <c r="D54" s="13"/>
      <c r="E54" s="13"/>
      <c r="F54" s="13"/>
      <c r="G54" s="13"/>
    </row>
    <row r="55" customFormat="false" ht="15" hidden="false" customHeight="false" outlineLevel="0" collapsed="false">
      <c r="A55" s="8"/>
      <c r="B55" s="1"/>
      <c r="C55" s="1"/>
      <c r="D55" s="13"/>
      <c r="E55" s="13"/>
      <c r="F55" s="13"/>
      <c r="G55" s="13"/>
    </row>
    <row r="56" customFormat="false" ht="15" hidden="false" customHeight="false" outlineLevel="0" collapsed="false">
      <c r="A56" s="8"/>
      <c r="B56" s="1"/>
      <c r="C56" s="1"/>
      <c r="D56" s="13"/>
      <c r="E56" s="13"/>
      <c r="F56" s="13"/>
      <c r="G56" s="13"/>
    </row>
    <row r="57" customFormat="false" ht="15" hidden="false" customHeight="false" outlineLevel="0" collapsed="false">
      <c r="A57" s="8"/>
      <c r="B57" s="1"/>
      <c r="C57" s="1"/>
      <c r="D57" s="13"/>
      <c r="E57" s="13"/>
      <c r="F57" s="13"/>
      <c r="G57" s="13"/>
    </row>
    <row r="58" customFormat="false" ht="15" hidden="false" customHeight="false" outlineLevel="0" collapsed="false">
      <c r="A58" s="8"/>
      <c r="B58" s="1"/>
      <c r="C58" s="1"/>
      <c r="D58" s="13"/>
      <c r="E58" s="13"/>
      <c r="F58" s="13"/>
      <c r="G58" s="13"/>
    </row>
    <row r="59" customFormat="false" ht="15" hidden="false" customHeight="false" outlineLevel="0" collapsed="false">
      <c r="A59" s="8"/>
      <c r="B59" s="1"/>
      <c r="C59" s="1"/>
      <c r="D59" s="13"/>
      <c r="E59" s="13"/>
      <c r="F59" s="13"/>
      <c r="G59" s="13"/>
    </row>
    <row r="60" customFormat="false" ht="15" hidden="false" customHeight="false" outlineLevel="0" collapsed="false">
      <c r="A60" s="8"/>
      <c r="B60" s="1"/>
      <c r="C60" s="1"/>
      <c r="D60" s="13"/>
      <c r="E60" s="13"/>
      <c r="F60" s="13"/>
      <c r="G60" s="13"/>
    </row>
    <row r="61" customFormat="false" ht="15" hidden="false" customHeight="false" outlineLevel="0" collapsed="false">
      <c r="A61" s="8"/>
      <c r="B61" s="1"/>
      <c r="C61" s="1"/>
      <c r="D61" s="13"/>
      <c r="E61" s="13"/>
      <c r="F61" s="13"/>
      <c r="G61" s="13"/>
    </row>
    <row r="62" customFormat="false" ht="15" hidden="false" customHeight="false" outlineLevel="0" collapsed="false">
      <c r="A62" s="8"/>
      <c r="B62" s="1"/>
      <c r="C62" s="1"/>
      <c r="D62" s="13"/>
      <c r="E62" s="13"/>
      <c r="F62" s="13"/>
      <c r="G62" s="13"/>
    </row>
    <row r="63" customFormat="false" ht="15" hidden="false" customHeight="false" outlineLevel="0" collapsed="false">
      <c r="A63" s="8"/>
      <c r="B63" s="1"/>
      <c r="C63" s="1"/>
      <c r="D63" s="13"/>
      <c r="E63" s="13"/>
      <c r="F63" s="13"/>
      <c r="G63" s="13"/>
    </row>
    <row r="64" customFormat="false" ht="15" hidden="false" customHeight="false" outlineLevel="0" collapsed="false">
      <c r="A64" s="8"/>
      <c r="B64" s="1"/>
      <c r="C64" s="1"/>
      <c r="D64" s="13"/>
      <c r="E64" s="13"/>
      <c r="F64" s="13"/>
      <c r="G64" s="13"/>
    </row>
    <row r="65" customFormat="false" ht="15" hidden="false" customHeight="false" outlineLevel="0" collapsed="false">
      <c r="A65" s="8"/>
      <c r="B65" s="1"/>
      <c r="C65" s="1"/>
      <c r="D65" s="13"/>
      <c r="E65" s="13"/>
      <c r="F65" s="13"/>
      <c r="G65" s="13"/>
    </row>
    <row r="66" customFormat="false" ht="15" hidden="false" customHeight="false" outlineLevel="0" collapsed="false">
      <c r="A66" s="8"/>
      <c r="B66" s="1"/>
      <c r="C66" s="1"/>
      <c r="D66" s="13"/>
      <c r="E66" s="13"/>
      <c r="F66" s="13"/>
      <c r="G66" s="13"/>
    </row>
    <row r="67" customFormat="false" ht="15" hidden="false" customHeight="false" outlineLevel="0" collapsed="false">
      <c r="A67" s="8"/>
      <c r="B67" s="1"/>
      <c r="C67" s="1"/>
      <c r="D67" s="13"/>
      <c r="E67" s="13"/>
      <c r="F67" s="13"/>
      <c r="G67" s="13"/>
    </row>
    <row r="68" customFormat="false" ht="15" hidden="false" customHeight="false" outlineLevel="0" collapsed="false">
      <c r="A68" s="8"/>
      <c r="B68" s="1"/>
      <c r="C68" s="1"/>
      <c r="D68" s="13"/>
      <c r="E68" s="13"/>
      <c r="F68" s="13"/>
      <c r="G68" s="13"/>
    </row>
    <row r="69" customFormat="false" ht="15" hidden="false" customHeight="false" outlineLevel="0" collapsed="false">
      <c r="A69" s="8"/>
      <c r="B69" s="1"/>
      <c r="C69" s="1"/>
      <c r="D69" s="13"/>
      <c r="E69" s="13"/>
      <c r="F69" s="13"/>
      <c r="G69" s="13"/>
    </row>
    <row r="70" customFormat="false" ht="15" hidden="false" customHeight="false" outlineLevel="0" collapsed="false">
      <c r="A70" s="8"/>
      <c r="B70" s="1"/>
      <c r="C70" s="1"/>
      <c r="D70" s="13"/>
      <c r="E70" s="13"/>
      <c r="F70" s="13"/>
      <c r="G70" s="13"/>
    </row>
    <row r="71" customFormat="false" ht="15" hidden="false" customHeight="false" outlineLevel="0" collapsed="false">
      <c r="A71" s="8"/>
      <c r="B71" s="1"/>
      <c r="C71" s="1"/>
      <c r="D71" s="13"/>
      <c r="E71" s="13"/>
      <c r="F71" s="13"/>
      <c r="G71" s="13"/>
    </row>
    <row r="72" customFormat="false" ht="15" hidden="false" customHeight="false" outlineLevel="0" collapsed="false">
      <c r="A72" s="8"/>
      <c r="B72" s="1"/>
      <c r="C72" s="1"/>
      <c r="D72" s="13"/>
      <c r="E72" s="13"/>
      <c r="F72" s="13"/>
      <c r="G72" s="13"/>
    </row>
    <row r="73" customFormat="false" ht="15" hidden="false" customHeight="false" outlineLevel="0" collapsed="false">
      <c r="A73" s="8"/>
      <c r="B73" s="1"/>
      <c r="C73" s="1"/>
      <c r="D73" s="13"/>
      <c r="E73" s="13"/>
      <c r="F73" s="13"/>
      <c r="G73" s="13"/>
    </row>
    <row r="74" customFormat="false" ht="15" hidden="false" customHeight="false" outlineLevel="0" collapsed="false">
      <c r="A74" s="8"/>
      <c r="B74" s="1"/>
      <c r="C74" s="1"/>
      <c r="D74" s="13"/>
      <c r="E74" s="13"/>
      <c r="F74" s="13"/>
      <c r="G74" s="13"/>
    </row>
    <row r="75" customFormat="false" ht="15" hidden="false" customHeight="false" outlineLevel="0" collapsed="false">
      <c r="A75" s="8"/>
      <c r="B75" s="1"/>
      <c r="C75" s="1"/>
      <c r="D75" s="13"/>
      <c r="E75" s="13"/>
      <c r="F75" s="13"/>
      <c r="G75" s="13"/>
    </row>
    <row r="76" customFormat="false" ht="15" hidden="false" customHeight="false" outlineLevel="0" collapsed="false">
      <c r="A76" s="8"/>
      <c r="B76" s="1"/>
      <c r="C76" s="1"/>
      <c r="D76" s="13"/>
      <c r="E76" s="13"/>
      <c r="F76" s="13"/>
      <c r="G76" s="13"/>
    </row>
    <row r="77" customFormat="false" ht="15" hidden="false" customHeight="false" outlineLevel="0" collapsed="false">
      <c r="A77" s="8"/>
      <c r="B77" s="1"/>
      <c r="C77" s="1"/>
      <c r="D77" s="13"/>
      <c r="E77" s="13"/>
      <c r="F77" s="13"/>
      <c r="G77" s="13"/>
    </row>
    <row r="78" customFormat="false" ht="15" hidden="false" customHeight="false" outlineLevel="0" collapsed="false">
      <c r="A78" s="8"/>
      <c r="B78" s="1"/>
      <c r="C78" s="1"/>
      <c r="D78" s="13"/>
      <c r="E78" s="13"/>
      <c r="F78" s="13"/>
      <c r="G78" s="13"/>
    </row>
    <row r="79" customFormat="false" ht="15" hidden="false" customHeight="false" outlineLevel="0" collapsed="false">
      <c r="A79" s="8"/>
      <c r="B79" s="1"/>
      <c r="C79" s="1"/>
      <c r="D79" s="13"/>
      <c r="E79" s="13"/>
      <c r="F79" s="13"/>
      <c r="G79" s="13"/>
    </row>
    <row r="80" customFormat="false" ht="15" hidden="false" customHeight="false" outlineLevel="0" collapsed="false">
      <c r="A80" s="8"/>
      <c r="B80" s="1"/>
      <c r="C80" s="1"/>
      <c r="D80" s="13"/>
      <c r="E80" s="13"/>
      <c r="F80" s="13"/>
      <c r="G80" s="13"/>
    </row>
    <row r="81" customFormat="false" ht="15" hidden="false" customHeight="false" outlineLevel="0" collapsed="false">
      <c r="A81" s="8"/>
      <c r="B81" s="1"/>
      <c r="C81" s="1"/>
      <c r="D81" s="13"/>
      <c r="E81" s="13"/>
      <c r="F81" s="13"/>
      <c r="G81" s="13"/>
    </row>
    <row r="82" customFormat="false" ht="15" hidden="false" customHeight="false" outlineLevel="0" collapsed="false">
      <c r="A82" s="8"/>
      <c r="B82" s="1"/>
      <c r="C82" s="1"/>
      <c r="D82" s="13"/>
      <c r="E82" s="13"/>
      <c r="F82" s="13"/>
      <c r="G82" s="13"/>
    </row>
    <row r="83" customFormat="false" ht="15" hidden="false" customHeight="false" outlineLevel="0" collapsed="false">
      <c r="A83" s="8"/>
      <c r="B83" s="1"/>
      <c r="C83" s="1"/>
      <c r="D83" s="13"/>
      <c r="E83" s="13"/>
      <c r="F83" s="13"/>
      <c r="G83" s="13"/>
    </row>
    <row r="84" customFormat="false" ht="15" hidden="false" customHeight="false" outlineLevel="0" collapsed="false">
      <c r="A84" s="8"/>
      <c r="B84" s="1"/>
      <c r="C84" s="1"/>
      <c r="D84" s="13"/>
      <c r="E84" s="13"/>
      <c r="F84" s="13"/>
      <c r="G84" s="13"/>
    </row>
    <row r="85" customFormat="false" ht="15" hidden="false" customHeight="false" outlineLevel="0" collapsed="false">
      <c r="A85" s="8"/>
      <c r="B85" s="1"/>
      <c r="C85" s="1"/>
      <c r="D85" s="13"/>
      <c r="E85" s="13"/>
      <c r="F85" s="13"/>
      <c r="G85" s="13"/>
    </row>
    <row r="86" customFormat="false" ht="15" hidden="false" customHeight="false" outlineLevel="0" collapsed="false">
      <c r="A86" s="8"/>
      <c r="B86" s="1"/>
      <c r="C86" s="1"/>
      <c r="D86" s="13"/>
      <c r="E86" s="13"/>
      <c r="F86" s="13"/>
      <c r="G86" s="13"/>
    </row>
    <row r="87" customFormat="false" ht="15" hidden="false" customHeight="false" outlineLevel="0" collapsed="false">
      <c r="A87" s="8"/>
      <c r="B87" s="1"/>
      <c r="C87" s="1"/>
      <c r="D87" s="13"/>
      <c r="E87" s="13"/>
      <c r="F87" s="13"/>
      <c r="G87" s="13"/>
    </row>
    <row r="88" customFormat="false" ht="15" hidden="false" customHeight="false" outlineLevel="0" collapsed="false">
      <c r="A88" s="8"/>
      <c r="B88" s="1"/>
      <c r="C88" s="1"/>
      <c r="D88" s="13"/>
      <c r="E88" s="13"/>
      <c r="F88" s="13"/>
      <c r="G88" s="13"/>
    </row>
    <row r="89" customFormat="false" ht="15" hidden="false" customHeight="false" outlineLevel="0" collapsed="false">
      <c r="A89" s="8"/>
      <c r="B89" s="1"/>
      <c r="C89" s="1"/>
      <c r="D89" s="13"/>
      <c r="E89" s="13"/>
      <c r="F89" s="13"/>
      <c r="G89" s="13"/>
    </row>
    <row r="90" customFormat="false" ht="15" hidden="false" customHeight="false" outlineLevel="0" collapsed="false">
      <c r="A90" s="8"/>
      <c r="B90" s="1"/>
      <c r="C90" s="1"/>
      <c r="D90" s="13"/>
      <c r="E90" s="13"/>
      <c r="F90" s="13"/>
      <c r="G90" s="13"/>
    </row>
    <row r="91" customFormat="false" ht="15" hidden="false" customHeight="false" outlineLevel="0" collapsed="false">
      <c r="A91" s="8"/>
      <c r="B91" s="1"/>
      <c r="C91" s="1"/>
      <c r="D91" s="13"/>
      <c r="E91" s="13"/>
      <c r="F91" s="13"/>
      <c r="G91" s="13"/>
    </row>
    <row r="92" customFormat="false" ht="15" hidden="false" customHeight="false" outlineLevel="0" collapsed="false">
      <c r="A92" s="8"/>
      <c r="B92" s="1"/>
      <c r="C92" s="1"/>
      <c r="D92" s="13"/>
      <c r="E92" s="13"/>
      <c r="F92" s="13"/>
      <c r="G92" s="13"/>
    </row>
    <row r="93" customFormat="false" ht="15" hidden="false" customHeight="false" outlineLevel="0" collapsed="false">
      <c r="A93" s="8"/>
      <c r="B93" s="1"/>
      <c r="C93" s="1"/>
      <c r="D93" s="13"/>
      <c r="E93" s="13"/>
      <c r="F93" s="13"/>
      <c r="G93" s="13"/>
    </row>
    <row r="94" customFormat="false" ht="15" hidden="false" customHeight="false" outlineLevel="0" collapsed="false">
      <c r="A94" s="8"/>
      <c r="B94" s="1"/>
      <c r="C94" s="1"/>
      <c r="D94" s="13"/>
      <c r="E94" s="13"/>
      <c r="F94" s="13"/>
      <c r="G94" s="13"/>
    </row>
    <row r="95" customFormat="false" ht="15" hidden="false" customHeight="false" outlineLevel="0" collapsed="false">
      <c r="A95" s="8"/>
      <c r="B95" s="1"/>
      <c r="C95" s="1"/>
      <c r="D95" s="13"/>
      <c r="E95" s="13"/>
      <c r="F95" s="13"/>
      <c r="G95" s="13"/>
    </row>
    <row r="96" customFormat="false" ht="15" hidden="false" customHeight="false" outlineLevel="0" collapsed="false">
      <c r="A96" s="8"/>
      <c r="B96" s="1"/>
      <c r="C96" s="1"/>
      <c r="D96" s="13"/>
      <c r="E96" s="13"/>
      <c r="F96" s="13"/>
      <c r="G96" s="13"/>
    </row>
    <row r="97" customFormat="false" ht="15" hidden="false" customHeight="false" outlineLevel="0" collapsed="false">
      <c r="A97" s="8"/>
      <c r="B97" s="1"/>
      <c r="C97" s="1"/>
      <c r="D97" s="13"/>
      <c r="E97" s="13"/>
      <c r="F97" s="13"/>
      <c r="G97" s="13"/>
    </row>
    <row r="98" customFormat="false" ht="15" hidden="false" customHeight="false" outlineLevel="0" collapsed="false">
      <c r="A98" s="8"/>
      <c r="B98" s="1"/>
      <c r="C98" s="1"/>
      <c r="D98" s="13"/>
      <c r="E98" s="13"/>
      <c r="F98" s="13"/>
      <c r="G98" s="13"/>
    </row>
    <row r="99" customFormat="false" ht="15" hidden="false" customHeight="false" outlineLevel="0" collapsed="false">
      <c r="A99" s="8"/>
      <c r="B99" s="1"/>
      <c r="C99" s="1"/>
      <c r="D99" s="13"/>
      <c r="E99" s="13"/>
      <c r="F99" s="13"/>
      <c r="G99" s="13"/>
    </row>
    <row r="100" customFormat="false" ht="15" hidden="false" customHeight="false" outlineLevel="0" collapsed="false">
      <c r="A100" s="8"/>
      <c r="B100" s="1"/>
      <c r="C100" s="1"/>
      <c r="D100" s="13"/>
      <c r="E100" s="13"/>
      <c r="F100" s="13"/>
      <c r="G100" s="13"/>
    </row>
    <row r="101" customFormat="false" ht="15" hidden="false" customHeight="false" outlineLevel="0" collapsed="false">
      <c r="A101" s="8"/>
      <c r="B101" s="1"/>
      <c r="C101" s="1"/>
      <c r="D101" s="13"/>
      <c r="E101" s="13"/>
      <c r="F101" s="13"/>
      <c r="G101" s="13"/>
    </row>
    <row r="102" customFormat="false" ht="15" hidden="false" customHeight="false" outlineLevel="0" collapsed="false">
      <c r="A102" s="8"/>
      <c r="B102" s="1"/>
      <c r="C102" s="1"/>
      <c r="D102" s="13"/>
      <c r="E102" s="13"/>
      <c r="F102" s="13"/>
      <c r="G102" s="13"/>
    </row>
    <row r="103" customFormat="false" ht="15" hidden="false" customHeight="false" outlineLevel="0" collapsed="false">
      <c r="A103" s="8"/>
      <c r="B103" s="1"/>
      <c r="C103" s="1"/>
      <c r="D103" s="13"/>
      <c r="E103" s="13"/>
      <c r="F103" s="13"/>
      <c r="G103" s="13"/>
    </row>
    <row r="104" customFormat="false" ht="15" hidden="false" customHeight="false" outlineLevel="0" collapsed="false">
      <c r="A104" s="8"/>
      <c r="B104" s="1"/>
      <c r="C104" s="1"/>
      <c r="D104" s="13"/>
      <c r="E104" s="13"/>
      <c r="F104" s="13"/>
      <c r="G104" s="13"/>
    </row>
    <row r="105" customFormat="false" ht="15" hidden="false" customHeight="false" outlineLevel="0" collapsed="false">
      <c r="A105" s="8"/>
      <c r="B105" s="1"/>
      <c r="C105" s="1"/>
      <c r="D105" s="13"/>
      <c r="E105" s="13"/>
      <c r="F105" s="13"/>
      <c r="G105" s="13"/>
    </row>
    <row r="106" customFormat="false" ht="15" hidden="false" customHeight="false" outlineLevel="0" collapsed="false">
      <c r="A106" s="8"/>
      <c r="B106" s="1"/>
      <c r="C106" s="1"/>
      <c r="D106" s="13"/>
      <c r="E106" s="13"/>
      <c r="F106" s="13"/>
      <c r="G106" s="13"/>
    </row>
    <row r="107" customFormat="false" ht="15" hidden="false" customHeight="false" outlineLevel="0" collapsed="false">
      <c r="A107" s="8"/>
      <c r="B107" s="1"/>
      <c r="C107" s="1"/>
      <c r="D107" s="13"/>
      <c r="E107" s="13"/>
      <c r="F107" s="13"/>
      <c r="G107" s="13"/>
    </row>
    <row r="108" customFormat="false" ht="15" hidden="false" customHeight="false" outlineLevel="0" collapsed="false">
      <c r="A108" s="8"/>
      <c r="B108" s="1"/>
      <c r="C108" s="1"/>
      <c r="D108" s="13"/>
      <c r="E108" s="13"/>
      <c r="F108" s="13"/>
      <c r="G108" s="13"/>
    </row>
    <row r="109" customFormat="false" ht="15" hidden="false" customHeight="false" outlineLevel="0" collapsed="false">
      <c r="A109" s="8"/>
      <c r="B109" s="1"/>
      <c r="C109" s="1"/>
      <c r="D109" s="13"/>
      <c r="E109" s="13"/>
      <c r="F109" s="13"/>
      <c r="G109" s="13"/>
    </row>
    <row r="110" customFormat="false" ht="15" hidden="false" customHeight="false" outlineLevel="0" collapsed="false">
      <c r="A110" s="8"/>
      <c r="B110" s="1"/>
      <c r="C110" s="1"/>
      <c r="D110" s="13"/>
      <c r="E110" s="13"/>
      <c r="F110" s="13"/>
      <c r="G110" s="13"/>
    </row>
    <row r="111" customFormat="false" ht="15" hidden="false" customHeight="false" outlineLevel="0" collapsed="false">
      <c r="A111" s="8"/>
      <c r="B111" s="1"/>
      <c r="C111" s="1"/>
      <c r="D111" s="13"/>
      <c r="E111" s="13"/>
      <c r="F111" s="13"/>
      <c r="G111" s="13"/>
    </row>
    <row r="112" customFormat="false" ht="15" hidden="false" customHeight="false" outlineLevel="0" collapsed="false">
      <c r="A112" s="8"/>
      <c r="B112" s="1"/>
      <c r="C112" s="1"/>
      <c r="D112" s="13"/>
      <c r="E112" s="13"/>
      <c r="F112" s="13"/>
      <c r="G112" s="13"/>
    </row>
    <row r="113" customFormat="false" ht="15" hidden="false" customHeight="false" outlineLevel="0" collapsed="false">
      <c r="A113" s="8"/>
      <c r="B113" s="1"/>
      <c r="C113" s="1"/>
      <c r="D113" s="13"/>
      <c r="E113" s="13"/>
      <c r="F113" s="13"/>
      <c r="G113" s="13"/>
    </row>
    <row r="114" customFormat="false" ht="15" hidden="false" customHeight="false" outlineLevel="0" collapsed="false">
      <c r="A114" s="8"/>
      <c r="B114" s="1"/>
      <c r="C114" s="1"/>
      <c r="D114" s="13"/>
      <c r="E114" s="13"/>
      <c r="F114" s="13"/>
      <c r="G114" s="13"/>
    </row>
    <row r="115" customFormat="false" ht="15" hidden="false" customHeight="false" outlineLevel="0" collapsed="false">
      <c r="A115" s="8"/>
      <c r="B115" s="1"/>
      <c r="C115" s="1"/>
      <c r="D115" s="13"/>
      <c r="E115" s="13"/>
      <c r="F115" s="13"/>
      <c r="G115" s="13"/>
    </row>
    <row r="116" customFormat="false" ht="15" hidden="false" customHeight="false" outlineLevel="0" collapsed="false">
      <c r="A116" s="8"/>
      <c r="B116" s="1"/>
      <c r="C116" s="1"/>
      <c r="D116" s="13"/>
      <c r="E116" s="13"/>
      <c r="F116" s="13"/>
      <c r="G116" s="13"/>
    </row>
    <row r="117" customFormat="false" ht="15" hidden="false" customHeight="false" outlineLevel="0" collapsed="false">
      <c r="A117" s="8"/>
      <c r="B117" s="1"/>
      <c r="C117" s="1"/>
      <c r="D117" s="13"/>
      <c r="E117" s="13"/>
      <c r="F117" s="13"/>
      <c r="G117" s="13"/>
    </row>
    <row r="118" customFormat="false" ht="15" hidden="false" customHeight="false" outlineLevel="0" collapsed="false">
      <c r="A118" s="8"/>
      <c r="B118" s="1"/>
      <c r="C118" s="1"/>
      <c r="D118" s="13"/>
      <c r="E118" s="13"/>
      <c r="F118" s="13"/>
      <c r="G118" s="13"/>
    </row>
    <row r="119" customFormat="false" ht="15" hidden="false" customHeight="false" outlineLevel="0" collapsed="false">
      <c r="A119" s="8"/>
      <c r="B119" s="1"/>
      <c r="C119" s="1"/>
      <c r="D119" s="13"/>
      <c r="E119" s="13"/>
      <c r="F119" s="13"/>
      <c r="G119" s="13"/>
    </row>
    <row r="120" customFormat="false" ht="15" hidden="false" customHeight="false" outlineLevel="0" collapsed="false">
      <c r="A120" s="8"/>
      <c r="B120" s="1"/>
      <c r="C120" s="1"/>
      <c r="D120" s="13"/>
      <c r="E120" s="13"/>
      <c r="F120" s="13"/>
      <c r="G120" s="13"/>
    </row>
    <row r="121" customFormat="false" ht="15" hidden="false" customHeight="false" outlineLevel="0" collapsed="false">
      <c r="A121" s="8"/>
      <c r="B121" s="1"/>
      <c r="C121" s="1"/>
      <c r="D121" s="13"/>
      <c r="E121" s="13"/>
      <c r="F121" s="13"/>
      <c r="G121" s="13"/>
    </row>
    <row r="122" customFormat="false" ht="15" hidden="false" customHeight="false" outlineLevel="0" collapsed="false">
      <c r="A122" s="8"/>
      <c r="B122" s="1"/>
      <c r="C122" s="1"/>
      <c r="D122" s="13"/>
      <c r="E122" s="13"/>
      <c r="F122" s="13"/>
      <c r="G122" s="13"/>
    </row>
    <row r="123" customFormat="false" ht="15" hidden="false" customHeight="false" outlineLevel="0" collapsed="false">
      <c r="A123" s="8"/>
      <c r="B123" s="1"/>
      <c r="C123" s="1"/>
      <c r="D123" s="13"/>
      <c r="E123" s="13"/>
      <c r="F123" s="13"/>
      <c r="G123" s="13"/>
    </row>
    <row r="124" customFormat="false" ht="15" hidden="false" customHeight="false" outlineLevel="0" collapsed="false">
      <c r="A124" s="8"/>
      <c r="B124" s="1"/>
      <c r="C124" s="1"/>
      <c r="D124" s="13"/>
      <c r="E124" s="13"/>
      <c r="F124" s="13"/>
      <c r="G124" s="13"/>
    </row>
    <row r="125" customFormat="false" ht="15" hidden="false" customHeight="false" outlineLevel="0" collapsed="false">
      <c r="A125" s="8"/>
      <c r="B125" s="1"/>
      <c r="C125" s="1"/>
      <c r="D125" s="13"/>
      <c r="E125" s="13"/>
      <c r="F125" s="13"/>
      <c r="G125" s="13"/>
    </row>
    <row r="126" customFormat="false" ht="15" hidden="false" customHeight="false" outlineLevel="0" collapsed="false">
      <c r="A126" s="8"/>
      <c r="B126" s="1"/>
      <c r="C126" s="1"/>
      <c r="D126" s="13"/>
      <c r="E126" s="13"/>
      <c r="F126" s="13"/>
      <c r="G126" s="13"/>
    </row>
    <row r="127" customFormat="false" ht="15" hidden="false" customHeight="false" outlineLevel="0" collapsed="false">
      <c r="A127" s="8"/>
      <c r="B127" s="1"/>
      <c r="C127" s="1"/>
      <c r="D127" s="13"/>
      <c r="E127" s="13"/>
      <c r="F127" s="13"/>
      <c r="G127" s="13"/>
    </row>
    <row r="128" customFormat="false" ht="15" hidden="false" customHeight="false" outlineLevel="0" collapsed="false">
      <c r="A128" s="8"/>
      <c r="B128" s="1"/>
      <c r="C128" s="1"/>
      <c r="D128" s="13"/>
      <c r="E128" s="13"/>
      <c r="F128" s="13"/>
      <c r="G128" s="13"/>
    </row>
    <row r="129" customFormat="false" ht="15" hidden="false" customHeight="false" outlineLevel="0" collapsed="false">
      <c r="A129" s="8"/>
      <c r="B129" s="1"/>
      <c r="C129" s="1"/>
      <c r="D129" s="13"/>
      <c r="E129" s="13"/>
      <c r="F129" s="13"/>
      <c r="G129" s="13"/>
    </row>
    <row r="130" customFormat="false" ht="15" hidden="false" customHeight="false" outlineLevel="0" collapsed="false">
      <c r="A130" s="8"/>
      <c r="B130" s="1"/>
      <c r="C130" s="1"/>
      <c r="D130" s="13"/>
      <c r="E130" s="13"/>
      <c r="F130" s="13"/>
      <c r="G130" s="13"/>
    </row>
    <row r="131" customFormat="false" ht="15" hidden="false" customHeight="false" outlineLevel="0" collapsed="false">
      <c r="A131" s="8"/>
      <c r="B131" s="1"/>
      <c r="C131" s="1"/>
      <c r="D131" s="13"/>
      <c r="E131" s="13"/>
      <c r="F131" s="13"/>
      <c r="G131" s="13"/>
    </row>
    <row r="132" customFormat="false" ht="15" hidden="false" customHeight="false" outlineLevel="0" collapsed="false">
      <c r="A132" s="8"/>
      <c r="B132" s="1"/>
      <c r="C132" s="1"/>
      <c r="D132" s="13"/>
      <c r="E132" s="13"/>
      <c r="F132" s="13"/>
      <c r="G132" s="13"/>
    </row>
    <row r="133" customFormat="false" ht="15" hidden="false" customHeight="false" outlineLevel="0" collapsed="false">
      <c r="A133" s="8"/>
      <c r="B133" s="1"/>
      <c r="C133" s="1"/>
      <c r="D133" s="13"/>
      <c r="E133" s="13"/>
      <c r="F133" s="13"/>
      <c r="G133" s="13"/>
    </row>
    <row r="134" customFormat="false" ht="15" hidden="false" customHeight="false" outlineLevel="0" collapsed="false">
      <c r="A134" s="8"/>
      <c r="B134" s="1"/>
      <c r="C134" s="1"/>
      <c r="D134" s="13"/>
      <c r="E134" s="13"/>
      <c r="F134" s="13"/>
      <c r="G134" s="13"/>
    </row>
    <row r="135" customFormat="false" ht="15" hidden="false" customHeight="false" outlineLevel="0" collapsed="false">
      <c r="A135" s="8"/>
      <c r="B135" s="1"/>
      <c r="C135" s="1"/>
      <c r="D135" s="13"/>
      <c r="E135" s="13"/>
      <c r="F135" s="13"/>
      <c r="G135" s="13"/>
    </row>
    <row r="136" customFormat="false" ht="15" hidden="false" customHeight="false" outlineLevel="0" collapsed="false">
      <c r="A136" s="8"/>
      <c r="B136" s="1"/>
      <c r="C136" s="1"/>
      <c r="D136" s="13"/>
      <c r="E136" s="13"/>
      <c r="F136" s="13"/>
      <c r="G136" s="13"/>
    </row>
    <row r="137" customFormat="false" ht="15" hidden="false" customHeight="false" outlineLevel="0" collapsed="false">
      <c r="A137" s="8"/>
      <c r="B137" s="1"/>
      <c r="C137" s="1"/>
      <c r="D137" s="13"/>
      <c r="E137" s="13"/>
      <c r="F137" s="13"/>
      <c r="G137" s="13"/>
    </row>
    <row r="138" customFormat="false" ht="15" hidden="false" customHeight="false" outlineLevel="0" collapsed="false">
      <c r="A138" s="8"/>
      <c r="B138" s="1"/>
      <c r="C138" s="1"/>
      <c r="D138" s="13"/>
      <c r="E138" s="13"/>
      <c r="F138" s="13"/>
      <c r="G138" s="13"/>
    </row>
    <row r="139" customFormat="false" ht="15" hidden="false" customHeight="false" outlineLevel="0" collapsed="false">
      <c r="A139" s="8"/>
      <c r="B139" s="1"/>
      <c r="C139" s="1"/>
      <c r="D139" s="13"/>
      <c r="E139" s="13"/>
      <c r="F139" s="13"/>
      <c r="G139" s="13"/>
    </row>
    <row r="140" customFormat="false" ht="15" hidden="false" customHeight="false" outlineLevel="0" collapsed="false">
      <c r="A140" s="8"/>
      <c r="B140" s="1"/>
      <c r="C140" s="1"/>
      <c r="D140" s="13"/>
      <c r="E140" s="13"/>
      <c r="F140" s="13"/>
      <c r="G140" s="13"/>
    </row>
    <row r="141" customFormat="false" ht="15" hidden="false" customHeight="false" outlineLevel="0" collapsed="false">
      <c r="A141" s="8"/>
      <c r="B141" s="1"/>
      <c r="C141" s="1"/>
      <c r="D141" s="13"/>
      <c r="E141" s="13"/>
      <c r="F141" s="13"/>
      <c r="G141" s="13"/>
    </row>
    <row r="142" customFormat="false" ht="15" hidden="false" customHeight="false" outlineLevel="0" collapsed="false">
      <c r="A142" s="8"/>
      <c r="B142" s="1"/>
      <c r="C142" s="1"/>
      <c r="D142" s="13"/>
      <c r="E142" s="13"/>
      <c r="F142" s="13"/>
      <c r="G142" s="13"/>
    </row>
    <row r="143" customFormat="false" ht="15" hidden="false" customHeight="false" outlineLevel="0" collapsed="false">
      <c r="A143" s="8"/>
      <c r="B143" s="1"/>
      <c r="C143" s="1"/>
      <c r="D143" s="13"/>
      <c r="E143" s="13"/>
      <c r="F143" s="13"/>
      <c r="G143" s="13"/>
    </row>
    <row r="144" customFormat="false" ht="15" hidden="false" customHeight="false" outlineLevel="0" collapsed="false">
      <c r="A144" s="8"/>
      <c r="B144" s="1"/>
      <c r="C144" s="1"/>
      <c r="D144" s="13"/>
      <c r="E144" s="13"/>
      <c r="F144" s="13"/>
      <c r="G144" s="13"/>
    </row>
    <row r="145" customFormat="false" ht="15" hidden="false" customHeight="false" outlineLevel="0" collapsed="false">
      <c r="A145" s="8"/>
      <c r="B145" s="1"/>
      <c r="C145" s="1"/>
      <c r="D145" s="13"/>
      <c r="E145" s="13"/>
      <c r="F145" s="13"/>
      <c r="G145" s="13"/>
    </row>
    <row r="146" customFormat="false" ht="15" hidden="false" customHeight="false" outlineLevel="0" collapsed="false">
      <c r="A146" s="8"/>
      <c r="B146" s="1"/>
      <c r="C146" s="1"/>
      <c r="D146" s="13"/>
      <c r="E146" s="13"/>
      <c r="F146" s="13"/>
      <c r="G146" s="13"/>
    </row>
    <row r="147" customFormat="false" ht="15" hidden="false" customHeight="false" outlineLevel="0" collapsed="false">
      <c r="A147" s="8"/>
      <c r="B147" s="1"/>
      <c r="C147" s="1"/>
      <c r="D147" s="13"/>
      <c r="E147" s="13"/>
      <c r="F147" s="13"/>
      <c r="G147" s="13"/>
    </row>
    <row r="148" customFormat="false" ht="15" hidden="false" customHeight="false" outlineLevel="0" collapsed="false">
      <c r="A148" s="8"/>
      <c r="B148" s="1"/>
      <c r="C148" s="1"/>
      <c r="D148" s="13"/>
      <c r="E148" s="13"/>
      <c r="F148" s="13"/>
      <c r="G148" s="13"/>
    </row>
    <row r="149" customFormat="false" ht="15" hidden="false" customHeight="false" outlineLevel="0" collapsed="false">
      <c r="A149" s="8"/>
      <c r="B149" s="1"/>
      <c r="C149" s="1"/>
      <c r="D149" s="13"/>
      <c r="E149" s="13"/>
      <c r="F149" s="13"/>
      <c r="G149" s="13"/>
    </row>
    <row r="150" customFormat="false" ht="15" hidden="false" customHeight="false" outlineLevel="0" collapsed="false">
      <c r="A150" s="8"/>
      <c r="B150" s="1"/>
      <c r="C150" s="1"/>
      <c r="D150" s="13"/>
      <c r="E150" s="13"/>
      <c r="F150" s="13"/>
      <c r="G150" s="13"/>
    </row>
    <row r="151" customFormat="false" ht="15" hidden="false" customHeight="false" outlineLevel="0" collapsed="false">
      <c r="A151" s="8"/>
      <c r="B151" s="1"/>
      <c r="C151" s="1"/>
      <c r="D151" s="13"/>
      <c r="E151" s="13"/>
      <c r="F151" s="13"/>
      <c r="G151" s="13"/>
    </row>
    <row r="152" customFormat="false" ht="15" hidden="false" customHeight="false" outlineLevel="0" collapsed="false">
      <c r="A152" s="8"/>
      <c r="B152" s="1"/>
      <c r="C152" s="1"/>
      <c r="D152" s="13"/>
      <c r="E152" s="13"/>
      <c r="F152" s="13"/>
      <c r="G152" s="13"/>
    </row>
    <row r="153" customFormat="false" ht="15" hidden="false" customHeight="false" outlineLevel="0" collapsed="false">
      <c r="A153" s="8"/>
      <c r="B153" s="1"/>
      <c r="C153" s="1"/>
      <c r="D153" s="13"/>
      <c r="E153" s="13"/>
      <c r="F153" s="13"/>
      <c r="G153" s="13"/>
    </row>
    <row r="154" customFormat="false" ht="15" hidden="false" customHeight="false" outlineLevel="0" collapsed="false">
      <c r="A154" s="8"/>
      <c r="B154" s="1"/>
      <c r="C154" s="1"/>
      <c r="D154" s="13"/>
      <c r="E154" s="13"/>
      <c r="F154" s="13"/>
      <c r="G154" s="13"/>
    </row>
    <row r="155" customFormat="false" ht="15" hidden="false" customHeight="false" outlineLevel="0" collapsed="false">
      <c r="A155" s="8"/>
      <c r="B155" s="1"/>
      <c r="C155" s="1"/>
      <c r="D155" s="13"/>
      <c r="E155" s="13"/>
      <c r="F155" s="13"/>
      <c r="G155" s="13"/>
    </row>
    <row r="156" customFormat="false" ht="15" hidden="false" customHeight="false" outlineLevel="0" collapsed="false">
      <c r="A156" s="8"/>
      <c r="B156" s="1"/>
      <c r="C156" s="1"/>
      <c r="D156" s="13"/>
      <c r="E156" s="13"/>
      <c r="F156" s="13"/>
      <c r="G156" s="13"/>
    </row>
    <row r="157" customFormat="false" ht="15" hidden="false" customHeight="false" outlineLevel="0" collapsed="false">
      <c r="A157" s="8"/>
      <c r="B157" s="1"/>
      <c r="C157" s="1"/>
      <c r="D157" s="13"/>
      <c r="E157" s="13"/>
      <c r="F157" s="13"/>
      <c r="G157" s="13"/>
    </row>
    <row r="158" customFormat="false" ht="15" hidden="false" customHeight="false" outlineLevel="0" collapsed="false">
      <c r="A158" s="8"/>
      <c r="B158" s="1"/>
      <c r="C158" s="1"/>
      <c r="D158" s="13"/>
      <c r="E158" s="13"/>
      <c r="F158" s="13"/>
      <c r="G158" s="13"/>
    </row>
    <row r="159" customFormat="false" ht="15" hidden="false" customHeight="false" outlineLevel="0" collapsed="false">
      <c r="A159" s="8"/>
      <c r="B159" s="1"/>
      <c r="C159" s="1"/>
      <c r="D159" s="13"/>
      <c r="E159" s="13"/>
      <c r="F159" s="13"/>
      <c r="G159" s="13"/>
    </row>
    <row r="160" customFormat="false" ht="15" hidden="false" customHeight="false" outlineLevel="0" collapsed="false">
      <c r="A160" s="8"/>
      <c r="B160" s="1"/>
      <c r="C160" s="1"/>
      <c r="D160" s="13"/>
      <c r="E160" s="13"/>
      <c r="F160" s="13"/>
      <c r="G160" s="13"/>
    </row>
    <row r="161" customFormat="false" ht="15" hidden="false" customHeight="false" outlineLevel="0" collapsed="false">
      <c r="A161" s="8"/>
      <c r="B161" s="1"/>
      <c r="C161" s="1"/>
      <c r="D161" s="13"/>
      <c r="E161" s="13"/>
      <c r="F161" s="13"/>
      <c r="G161" s="13"/>
    </row>
    <row r="162" customFormat="false" ht="15" hidden="false" customHeight="false" outlineLevel="0" collapsed="false">
      <c r="A162" s="8"/>
      <c r="B162" s="1"/>
      <c r="C162" s="1"/>
      <c r="D162" s="13"/>
      <c r="E162" s="13"/>
      <c r="F162" s="13"/>
      <c r="G162" s="13"/>
    </row>
    <row r="163" customFormat="false" ht="15" hidden="false" customHeight="false" outlineLevel="0" collapsed="false">
      <c r="A163" s="8"/>
      <c r="B163" s="1"/>
      <c r="C163" s="1"/>
      <c r="D163" s="13"/>
      <c r="E163" s="13"/>
      <c r="F163" s="13"/>
      <c r="G163" s="13"/>
    </row>
    <row r="164" customFormat="false" ht="15" hidden="false" customHeight="false" outlineLevel="0" collapsed="false">
      <c r="A164" s="8"/>
      <c r="B164" s="1"/>
      <c r="C164" s="1"/>
      <c r="D164" s="13"/>
      <c r="E164" s="13"/>
      <c r="F164" s="13"/>
      <c r="G164" s="13"/>
    </row>
    <row r="165" customFormat="false" ht="15" hidden="false" customHeight="false" outlineLevel="0" collapsed="false">
      <c r="A165" s="8"/>
      <c r="B165" s="1"/>
      <c r="C165" s="1"/>
      <c r="D165" s="13"/>
      <c r="E165" s="13"/>
      <c r="F165" s="13"/>
      <c r="G165" s="13"/>
    </row>
    <row r="166" customFormat="false" ht="15" hidden="false" customHeight="false" outlineLevel="0" collapsed="false">
      <c r="A166" s="8"/>
      <c r="B166" s="1"/>
      <c r="C166" s="1"/>
      <c r="D166" s="13"/>
      <c r="E166" s="13"/>
      <c r="F166" s="13"/>
      <c r="G166" s="13"/>
    </row>
    <row r="167" customFormat="false" ht="15" hidden="false" customHeight="false" outlineLevel="0" collapsed="false">
      <c r="A167" s="8"/>
      <c r="B167" s="1"/>
      <c r="C167" s="1"/>
      <c r="D167" s="13"/>
      <c r="E167" s="13"/>
      <c r="F167" s="13"/>
      <c r="G167" s="13"/>
    </row>
    <row r="168" customFormat="false" ht="15" hidden="false" customHeight="false" outlineLevel="0" collapsed="false">
      <c r="A168" s="8"/>
      <c r="B168" s="1"/>
      <c r="C168" s="1"/>
      <c r="D168" s="13"/>
      <c r="E168" s="13"/>
      <c r="F168" s="13"/>
      <c r="G168" s="13"/>
    </row>
    <row r="169" customFormat="false" ht="15" hidden="false" customHeight="false" outlineLevel="0" collapsed="false">
      <c r="A169" s="8"/>
      <c r="B169" s="1"/>
      <c r="C169" s="1"/>
      <c r="D169" s="13"/>
      <c r="E169" s="13"/>
      <c r="F169" s="13"/>
      <c r="G169" s="13"/>
    </row>
    <row r="170" customFormat="false" ht="15" hidden="false" customHeight="false" outlineLevel="0" collapsed="false">
      <c r="A170" s="8"/>
      <c r="B170" s="1"/>
      <c r="C170" s="1"/>
      <c r="D170" s="13"/>
      <c r="E170" s="13"/>
      <c r="F170" s="13"/>
      <c r="G170" s="13"/>
    </row>
    <row r="171" customFormat="false" ht="15" hidden="false" customHeight="false" outlineLevel="0" collapsed="false">
      <c r="A171" s="8"/>
      <c r="B171" s="1"/>
      <c r="C171" s="1"/>
      <c r="D171" s="13"/>
      <c r="E171" s="13"/>
      <c r="F171" s="13"/>
      <c r="G171" s="13"/>
    </row>
    <row r="172" customFormat="false" ht="15" hidden="false" customHeight="false" outlineLevel="0" collapsed="false">
      <c r="A172" s="8"/>
      <c r="B172" s="1"/>
      <c r="C172" s="1"/>
      <c r="D172" s="13"/>
      <c r="E172" s="13"/>
      <c r="F172" s="13"/>
      <c r="G172" s="13"/>
    </row>
    <row r="173" customFormat="false" ht="15" hidden="false" customHeight="false" outlineLevel="0" collapsed="false">
      <c r="A173" s="8"/>
      <c r="B173" s="1"/>
      <c r="C173" s="1"/>
      <c r="D173" s="13"/>
      <c r="E173" s="13"/>
      <c r="F173" s="13"/>
      <c r="G173" s="13"/>
    </row>
    <row r="174" customFormat="false" ht="15" hidden="false" customHeight="false" outlineLevel="0" collapsed="false">
      <c r="A174" s="8"/>
      <c r="B174" s="1"/>
      <c r="C174" s="1"/>
      <c r="D174" s="13"/>
      <c r="E174" s="13"/>
      <c r="F174" s="13"/>
      <c r="G174" s="13"/>
    </row>
    <row r="175" customFormat="false" ht="15" hidden="false" customHeight="false" outlineLevel="0" collapsed="false">
      <c r="A175" s="8"/>
      <c r="B175" s="1"/>
      <c r="C175" s="1"/>
      <c r="D175" s="13"/>
      <c r="E175" s="13"/>
      <c r="F175" s="13"/>
      <c r="G175" s="13"/>
    </row>
    <row r="176" customFormat="false" ht="15" hidden="false" customHeight="false" outlineLevel="0" collapsed="false">
      <c r="A176" s="8"/>
      <c r="B176" s="1"/>
      <c r="C176" s="1"/>
      <c r="D176" s="13"/>
      <c r="E176" s="13"/>
      <c r="F176" s="13"/>
      <c r="G176" s="13"/>
    </row>
    <row r="177" customFormat="false" ht="15" hidden="false" customHeight="false" outlineLevel="0" collapsed="false">
      <c r="A177" s="8"/>
      <c r="B177" s="1"/>
      <c r="C177" s="1"/>
      <c r="D177" s="13"/>
      <c r="E177" s="13"/>
      <c r="F177" s="13"/>
      <c r="G177" s="13"/>
    </row>
    <row r="178" customFormat="false" ht="15" hidden="false" customHeight="false" outlineLevel="0" collapsed="false">
      <c r="A178" s="8"/>
      <c r="B178" s="1"/>
      <c r="C178" s="1"/>
      <c r="D178" s="13"/>
      <c r="E178" s="13"/>
      <c r="F178" s="13"/>
      <c r="G178" s="13"/>
    </row>
    <row r="179" customFormat="false" ht="15" hidden="false" customHeight="false" outlineLevel="0" collapsed="false">
      <c r="A179" s="8"/>
      <c r="B179" s="1"/>
      <c r="C179" s="1"/>
      <c r="D179" s="13"/>
      <c r="E179" s="13"/>
      <c r="F179" s="13"/>
      <c r="G179" s="13"/>
    </row>
    <row r="180" customFormat="false" ht="15" hidden="false" customHeight="false" outlineLevel="0" collapsed="false">
      <c r="A180" s="8"/>
      <c r="B180" s="1"/>
      <c r="C180" s="1"/>
      <c r="D180" s="13"/>
      <c r="E180" s="13"/>
      <c r="F180" s="13"/>
      <c r="G180" s="13"/>
    </row>
    <row r="181" customFormat="false" ht="15" hidden="false" customHeight="false" outlineLevel="0" collapsed="false">
      <c r="A181" s="8"/>
      <c r="B181" s="1"/>
      <c r="C181" s="1"/>
      <c r="D181" s="13"/>
      <c r="E181" s="13"/>
      <c r="F181" s="13"/>
      <c r="G181" s="13"/>
    </row>
    <row r="182" customFormat="false" ht="15" hidden="false" customHeight="false" outlineLevel="0" collapsed="false">
      <c r="A182" s="8"/>
      <c r="B182" s="1"/>
      <c r="C182" s="1"/>
      <c r="D182" s="13"/>
      <c r="E182" s="13"/>
      <c r="F182" s="13"/>
      <c r="G182" s="13"/>
    </row>
    <row r="183" customFormat="false" ht="15" hidden="false" customHeight="false" outlineLevel="0" collapsed="false">
      <c r="A183" s="8"/>
      <c r="B183" s="1"/>
      <c r="C183" s="1"/>
      <c r="D183" s="13"/>
      <c r="E183" s="13"/>
      <c r="F183" s="13"/>
      <c r="G183" s="13"/>
    </row>
    <row r="184" customFormat="false" ht="15" hidden="false" customHeight="false" outlineLevel="0" collapsed="false">
      <c r="A184" s="8"/>
      <c r="B184" s="1"/>
      <c r="C184" s="1"/>
      <c r="D184" s="13"/>
      <c r="E184" s="13"/>
      <c r="F184" s="13"/>
      <c r="G184" s="13"/>
    </row>
    <row r="185" customFormat="false" ht="15" hidden="false" customHeight="false" outlineLevel="0" collapsed="false">
      <c r="A185" s="8"/>
      <c r="B185" s="1"/>
      <c r="C185" s="1"/>
      <c r="D185" s="13"/>
      <c r="E185" s="13"/>
      <c r="F185" s="13"/>
      <c r="G185" s="13"/>
    </row>
    <row r="186" customFormat="false" ht="15" hidden="false" customHeight="false" outlineLevel="0" collapsed="false">
      <c r="A186" s="8"/>
      <c r="B186" s="1"/>
      <c r="C186" s="1"/>
      <c r="D186" s="13"/>
      <c r="E186" s="13"/>
      <c r="F186" s="13"/>
      <c r="G186" s="13"/>
    </row>
    <row r="187" customFormat="false" ht="15" hidden="false" customHeight="false" outlineLevel="0" collapsed="false">
      <c r="A187" s="8"/>
      <c r="B187" s="1"/>
      <c r="C187" s="1"/>
      <c r="D187" s="13"/>
      <c r="E187" s="13"/>
      <c r="F187" s="13"/>
      <c r="G187" s="13"/>
    </row>
    <row r="188" customFormat="false" ht="15" hidden="false" customHeight="false" outlineLevel="0" collapsed="false">
      <c r="A188" s="8"/>
      <c r="B188" s="1"/>
      <c r="C188" s="1"/>
      <c r="D188" s="13"/>
      <c r="E188" s="13"/>
      <c r="F188" s="13"/>
      <c r="G188" s="13"/>
    </row>
    <row r="189" customFormat="false" ht="15" hidden="false" customHeight="false" outlineLevel="0" collapsed="false">
      <c r="A189" s="8"/>
      <c r="B189" s="1"/>
      <c r="C189" s="1"/>
      <c r="D189" s="13"/>
      <c r="E189" s="13"/>
      <c r="F189" s="13"/>
      <c r="G189" s="13"/>
    </row>
    <row r="190" customFormat="false" ht="15" hidden="false" customHeight="false" outlineLevel="0" collapsed="false">
      <c r="A190" s="8"/>
      <c r="B190" s="1"/>
      <c r="C190" s="1"/>
      <c r="D190" s="13"/>
      <c r="E190" s="13"/>
      <c r="F190" s="13"/>
      <c r="G190" s="13"/>
    </row>
    <row r="191" customFormat="false" ht="15" hidden="false" customHeight="false" outlineLevel="0" collapsed="false">
      <c r="A191" s="8"/>
      <c r="B191" s="1"/>
      <c r="C191" s="1"/>
      <c r="D191" s="13"/>
      <c r="E191" s="13"/>
      <c r="F191" s="13"/>
      <c r="G191" s="13"/>
    </row>
    <row r="192" customFormat="false" ht="15" hidden="false" customHeight="false" outlineLevel="0" collapsed="false">
      <c r="A192" s="8"/>
      <c r="B192" s="1"/>
      <c r="C192" s="1"/>
      <c r="D192" s="13"/>
      <c r="E192" s="13"/>
      <c r="F192" s="13"/>
      <c r="G192" s="13"/>
    </row>
    <row r="193" customFormat="false" ht="15" hidden="false" customHeight="false" outlineLevel="0" collapsed="false">
      <c r="A193" s="8"/>
      <c r="B193" s="1"/>
      <c r="C193" s="1"/>
      <c r="D193" s="13"/>
      <c r="E193" s="13"/>
      <c r="F193" s="13"/>
      <c r="G193" s="13"/>
    </row>
    <row r="194" customFormat="false" ht="15" hidden="false" customHeight="false" outlineLevel="0" collapsed="false">
      <c r="A194" s="8"/>
      <c r="B194" s="1"/>
      <c r="C194" s="1"/>
      <c r="D194" s="13"/>
      <c r="E194" s="13"/>
      <c r="F194" s="13"/>
      <c r="G194" s="13"/>
    </row>
    <row r="195" customFormat="false" ht="15" hidden="false" customHeight="false" outlineLevel="0" collapsed="false">
      <c r="A195" s="8"/>
      <c r="B195" s="1"/>
      <c r="C195" s="1"/>
      <c r="D195" s="13"/>
      <c r="E195" s="13"/>
      <c r="F195" s="13"/>
      <c r="G195" s="13"/>
    </row>
    <row r="196" customFormat="false" ht="15" hidden="false" customHeight="false" outlineLevel="0" collapsed="false">
      <c r="A196" s="8"/>
      <c r="B196" s="1"/>
      <c r="C196" s="1"/>
      <c r="D196" s="13"/>
      <c r="E196" s="13"/>
      <c r="F196" s="13"/>
      <c r="G196" s="13"/>
    </row>
    <row r="197" customFormat="false" ht="15" hidden="false" customHeight="false" outlineLevel="0" collapsed="false">
      <c r="A197" s="8"/>
      <c r="B197" s="1"/>
      <c r="C197" s="1"/>
      <c r="D197" s="13"/>
      <c r="E197" s="13"/>
      <c r="F197" s="13"/>
      <c r="G197" s="13"/>
    </row>
    <row r="198" customFormat="false" ht="15" hidden="false" customHeight="false" outlineLevel="0" collapsed="false">
      <c r="A198" s="8"/>
      <c r="B198" s="1"/>
      <c r="C198" s="1"/>
      <c r="D198" s="13"/>
      <c r="E198" s="13"/>
      <c r="F198" s="13"/>
      <c r="G198" s="13"/>
    </row>
    <row r="199" customFormat="false" ht="15" hidden="false" customHeight="false" outlineLevel="0" collapsed="false">
      <c r="A199" s="8"/>
      <c r="B199" s="1"/>
      <c r="C199" s="1"/>
      <c r="D199" s="13"/>
      <c r="E199" s="13"/>
      <c r="F199" s="13"/>
      <c r="G199" s="13"/>
    </row>
    <row r="200" customFormat="false" ht="15" hidden="false" customHeight="false" outlineLevel="0" collapsed="false">
      <c r="A200" s="8"/>
      <c r="B200" s="1"/>
      <c r="C200" s="1"/>
      <c r="D200" s="13"/>
      <c r="E200" s="13"/>
      <c r="F200" s="13"/>
      <c r="G200" s="13"/>
    </row>
    <row r="201" customFormat="false" ht="15" hidden="false" customHeight="false" outlineLevel="0" collapsed="false">
      <c r="A201" s="8"/>
      <c r="B201" s="1"/>
      <c r="C201" s="1"/>
      <c r="D201" s="13"/>
      <c r="E201" s="13"/>
      <c r="F201" s="13"/>
      <c r="G201" s="13"/>
    </row>
    <row r="202" customFormat="false" ht="15" hidden="false" customHeight="false" outlineLevel="0" collapsed="false">
      <c r="A202" s="8"/>
      <c r="B202" s="1"/>
      <c r="C202" s="1"/>
      <c r="D202" s="13"/>
      <c r="E202" s="13"/>
      <c r="F202" s="13"/>
      <c r="G202" s="13"/>
    </row>
    <row r="203" customFormat="false" ht="15" hidden="false" customHeight="false" outlineLevel="0" collapsed="false">
      <c r="A203" s="8"/>
      <c r="B203" s="1"/>
      <c r="C203" s="1"/>
      <c r="D203" s="13"/>
      <c r="E203" s="13"/>
      <c r="F203" s="13"/>
      <c r="G203" s="13"/>
    </row>
    <row r="204" customFormat="false" ht="15" hidden="false" customHeight="false" outlineLevel="0" collapsed="false">
      <c r="A204" s="8"/>
      <c r="B204" s="1"/>
      <c r="C204" s="1"/>
      <c r="D204" s="13"/>
      <c r="E204" s="13"/>
      <c r="F204" s="13"/>
      <c r="G204" s="13"/>
    </row>
    <row r="205" customFormat="false" ht="15" hidden="false" customHeight="false" outlineLevel="0" collapsed="false">
      <c r="A205" s="8"/>
      <c r="B205" s="1"/>
      <c r="C205" s="1"/>
      <c r="D205" s="13"/>
      <c r="E205" s="13"/>
      <c r="F205" s="13"/>
      <c r="G205" s="13"/>
    </row>
    <row r="206" customFormat="false" ht="15" hidden="false" customHeight="false" outlineLevel="0" collapsed="false">
      <c r="A206" s="8"/>
      <c r="B206" s="1"/>
      <c r="C206" s="1"/>
      <c r="D206" s="13"/>
      <c r="E206" s="13"/>
      <c r="F206" s="13"/>
      <c r="G206" s="13"/>
    </row>
    <row r="207" customFormat="false" ht="15" hidden="false" customHeight="false" outlineLevel="0" collapsed="false">
      <c r="A207" s="8"/>
      <c r="B207" s="1"/>
      <c r="C207" s="1"/>
      <c r="D207" s="13"/>
      <c r="E207" s="13"/>
      <c r="F207" s="13"/>
      <c r="G207" s="13"/>
    </row>
    <row r="208" customFormat="false" ht="15" hidden="false" customHeight="false" outlineLevel="0" collapsed="false">
      <c r="A208" s="8"/>
      <c r="B208" s="1"/>
      <c r="C208" s="1"/>
      <c r="D208" s="13"/>
      <c r="E208" s="13"/>
      <c r="F208" s="13"/>
      <c r="G208" s="13"/>
    </row>
    <row r="209" customFormat="false" ht="15" hidden="false" customHeight="false" outlineLevel="0" collapsed="false">
      <c r="A209" s="8"/>
      <c r="B209" s="1"/>
      <c r="C209" s="1"/>
      <c r="D209" s="13"/>
      <c r="E209" s="13"/>
      <c r="F209" s="13"/>
      <c r="G209" s="13"/>
    </row>
    <row r="210" customFormat="false" ht="15" hidden="false" customHeight="false" outlineLevel="0" collapsed="false">
      <c r="A210" s="8"/>
      <c r="B210" s="1"/>
      <c r="C210" s="1"/>
      <c r="D210" s="13"/>
      <c r="E210" s="13"/>
      <c r="F210" s="13"/>
      <c r="G210" s="13"/>
    </row>
    <row r="211" customFormat="false" ht="15" hidden="false" customHeight="false" outlineLevel="0" collapsed="false">
      <c r="A211" s="8"/>
      <c r="B211" s="1"/>
      <c r="C211" s="1"/>
      <c r="D211" s="13"/>
      <c r="E211" s="13"/>
      <c r="F211" s="13"/>
      <c r="G211" s="13"/>
    </row>
    <row r="212" customFormat="false" ht="15" hidden="false" customHeight="false" outlineLevel="0" collapsed="false">
      <c r="A212" s="8"/>
      <c r="B212" s="1"/>
      <c r="C212" s="1"/>
      <c r="D212" s="13"/>
      <c r="E212" s="13"/>
      <c r="F212" s="13"/>
      <c r="G212" s="13"/>
    </row>
    <row r="213" customFormat="false" ht="15" hidden="false" customHeight="false" outlineLevel="0" collapsed="false">
      <c r="A213" s="8"/>
      <c r="B213" s="1"/>
      <c r="C213" s="1"/>
      <c r="D213" s="13"/>
      <c r="E213" s="13"/>
      <c r="F213" s="13"/>
      <c r="G213" s="13"/>
    </row>
    <row r="214" customFormat="false" ht="15" hidden="false" customHeight="false" outlineLevel="0" collapsed="false">
      <c r="A214" s="8"/>
      <c r="B214" s="1"/>
      <c r="C214" s="1"/>
      <c r="D214" s="13"/>
      <c r="E214" s="13"/>
      <c r="F214" s="13"/>
      <c r="G214" s="13"/>
    </row>
    <row r="215" customFormat="false" ht="15" hidden="false" customHeight="false" outlineLevel="0" collapsed="false">
      <c r="A215" s="8"/>
      <c r="B215" s="1"/>
      <c r="C215" s="1"/>
      <c r="D215" s="13"/>
      <c r="E215" s="13"/>
      <c r="F215" s="13"/>
      <c r="G215" s="13"/>
    </row>
    <row r="216" customFormat="false" ht="15" hidden="false" customHeight="false" outlineLevel="0" collapsed="false">
      <c r="A216" s="8"/>
      <c r="B216" s="1"/>
      <c r="C216" s="1"/>
      <c r="D216" s="13"/>
      <c r="E216" s="13"/>
      <c r="F216" s="13"/>
      <c r="G216" s="13"/>
    </row>
    <row r="217" customFormat="false" ht="15" hidden="false" customHeight="false" outlineLevel="0" collapsed="false">
      <c r="A217" s="8"/>
      <c r="B217" s="1"/>
      <c r="C217" s="1"/>
      <c r="D217" s="13"/>
      <c r="E217" s="13"/>
      <c r="F217" s="13"/>
      <c r="G217" s="13"/>
    </row>
    <row r="218" customFormat="false" ht="15" hidden="false" customHeight="false" outlineLevel="0" collapsed="false">
      <c r="A218" s="8"/>
      <c r="B218" s="1"/>
      <c r="C218" s="1"/>
      <c r="D218" s="13"/>
      <c r="E218" s="13"/>
      <c r="F218" s="13"/>
      <c r="G218" s="13"/>
    </row>
    <row r="219" customFormat="false" ht="15" hidden="false" customHeight="false" outlineLevel="0" collapsed="false">
      <c r="A219" s="8"/>
      <c r="B219" s="1"/>
      <c r="C219" s="1"/>
      <c r="D219" s="13"/>
      <c r="E219" s="13"/>
      <c r="F219" s="13"/>
      <c r="G219" s="13"/>
    </row>
    <row r="220" customFormat="false" ht="15" hidden="false" customHeight="false" outlineLevel="0" collapsed="false">
      <c r="A220" s="8"/>
      <c r="B220" s="1"/>
      <c r="C220" s="1"/>
      <c r="D220" s="13"/>
      <c r="E220" s="13"/>
      <c r="F220" s="13"/>
      <c r="G220" s="13"/>
    </row>
    <row r="221" customFormat="false" ht="15" hidden="false" customHeight="false" outlineLevel="0" collapsed="false">
      <c r="A221" s="8"/>
      <c r="B221" s="1"/>
      <c r="C221" s="1"/>
      <c r="D221" s="13"/>
      <c r="E221" s="13"/>
      <c r="F221" s="13"/>
      <c r="G221" s="13"/>
    </row>
    <row r="222" customFormat="false" ht="15" hidden="false" customHeight="false" outlineLevel="0" collapsed="false">
      <c r="A222" s="8"/>
      <c r="B222" s="1"/>
      <c r="C222" s="1"/>
      <c r="D222" s="13"/>
      <c r="E222" s="13"/>
      <c r="F222" s="13"/>
      <c r="G222" s="13"/>
    </row>
    <row r="223" customFormat="false" ht="15" hidden="false" customHeight="false" outlineLevel="0" collapsed="false">
      <c r="A223" s="8"/>
      <c r="B223" s="1"/>
      <c r="C223" s="1"/>
      <c r="D223" s="13"/>
      <c r="E223" s="13"/>
      <c r="F223" s="13"/>
      <c r="G223" s="13"/>
    </row>
    <row r="224" customFormat="false" ht="15" hidden="false" customHeight="false" outlineLevel="0" collapsed="false">
      <c r="A224" s="8"/>
      <c r="B224" s="1"/>
      <c r="C224" s="1"/>
      <c r="D224" s="13"/>
      <c r="E224" s="13"/>
      <c r="F224" s="13"/>
      <c r="G224" s="13"/>
    </row>
    <row r="225" customFormat="false" ht="15" hidden="false" customHeight="false" outlineLevel="0" collapsed="false">
      <c r="A225" s="8"/>
      <c r="B225" s="1"/>
      <c r="C225" s="1"/>
      <c r="D225" s="13"/>
      <c r="E225" s="13"/>
      <c r="F225" s="13"/>
      <c r="G225" s="13"/>
    </row>
    <row r="226" customFormat="false" ht="15" hidden="false" customHeight="false" outlineLevel="0" collapsed="false">
      <c r="A226" s="8"/>
      <c r="B226" s="1"/>
      <c r="C226" s="1"/>
      <c r="D226" s="13"/>
      <c r="E226" s="13"/>
      <c r="F226" s="13"/>
      <c r="G226" s="13"/>
    </row>
    <row r="227" customFormat="false" ht="15" hidden="false" customHeight="false" outlineLevel="0" collapsed="false">
      <c r="A227" s="8"/>
      <c r="B227" s="1"/>
      <c r="C227" s="1"/>
      <c r="D227" s="13"/>
      <c r="E227" s="13"/>
      <c r="F227" s="13"/>
      <c r="G227" s="13"/>
    </row>
    <row r="228" customFormat="false" ht="15" hidden="false" customHeight="false" outlineLevel="0" collapsed="false">
      <c r="A228" s="8"/>
      <c r="B228" s="1"/>
      <c r="C228" s="1"/>
      <c r="D228" s="13"/>
      <c r="E228" s="13"/>
      <c r="F228" s="13"/>
      <c r="G228" s="13"/>
    </row>
    <row r="229" customFormat="false" ht="15" hidden="false" customHeight="false" outlineLevel="0" collapsed="false">
      <c r="A229" s="8"/>
      <c r="B229" s="1"/>
      <c r="C229" s="1"/>
      <c r="D229" s="13"/>
      <c r="E229" s="13"/>
      <c r="F229" s="13"/>
      <c r="G229" s="13"/>
    </row>
    <row r="230" customFormat="false" ht="15" hidden="false" customHeight="false" outlineLevel="0" collapsed="false">
      <c r="A230" s="8"/>
      <c r="B230" s="1"/>
      <c r="C230" s="1"/>
      <c r="D230" s="13"/>
      <c r="E230" s="13"/>
      <c r="F230" s="13"/>
      <c r="G230" s="13"/>
    </row>
    <row r="231" customFormat="false" ht="15" hidden="false" customHeight="false" outlineLevel="0" collapsed="false">
      <c r="A231" s="8"/>
      <c r="B231" s="1"/>
      <c r="C231" s="1"/>
      <c r="D231" s="13"/>
      <c r="E231" s="13"/>
      <c r="F231" s="13"/>
      <c r="G231" s="13"/>
    </row>
    <row r="232" customFormat="false" ht="15" hidden="false" customHeight="false" outlineLevel="0" collapsed="false">
      <c r="A232" s="8"/>
      <c r="B232" s="1"/>
      <c r="C232" s="1"/>
      <c r="D232" s="13"/>
      <c r="E232" s="13"/>
      <c r="F232" s="13"/>
      <c r="G232" s="13"/>
    </row>
    <row r="233" customFormat="false" ht="15" hidden="false" customHeight="false" outlineLevel="0" collapsed="false">
      <c r="A233" s="8"/>
      <c r="B233" s="1"/>
      <c r="C233" s="1"/>
      <c r="D233" s="13"/>
      <c r="E233" s="13"/>
      <c r="F233" s="13"/>
      <c r="G233" s="13"/>
    </row>
    <row r="234" customFormat="false" ht="15" hidden="false" customHeight="false" outlineLevel="0" collapsed="false">
      <c r="A234" s="8"/>
      <c r="B234" s="1"/>
      <c r="C234" s="1"/>
      <c r="D234" s="13"/>
      <c r="E234" s="13"/>
      <c r="F234" s="13"/>
      <c r="G234" s="13"/>
    </row>
    <row r="235" customFormat="false" ht="15" hidden="false" customHeight="false" outlineLevel="0" collapsed="false">
      <c r="A235" s="8"/>
      <c r="B235" s="1"/>
      <c r="C235" s="1"/>
      <c r="D235" s="13"/>
      <c r="E235" s="13"/>
      <c r="F235" s="13"/>
      <c r="G235" s="13"/>
    </row>
    <row r="236" customFormat="false" ht="15" hidden="false" customHeight="false" outlineLevel="0" collapsed="false">
      <c r="A236" s="8"/>
      <c r="B236" s="1"/>
      <c r="C236" s="1"/>
      <c r="D236" s="13"/>
      <c r="E236" s="13"/>
      <c r="F236" s="13"/>
      <c r="G236" s="13"/>
    </row>
    <row r="237" customFormat="false" ht="15" hidden="false" customHeight="false" outlineLevel="0" collapsed="false">
      <c r="A237" s="8"/>
      <c r="B237" s="1"/>
      <c r="C237" s="1"/>
      <c r="D237" s="13"/>
      <c r="E237" s="13"/>
      <c r="F237" s="13"/>
      <c r="G237" s="13"/>
    </row>
    <row r="238" customFormat="false" ht="15" hidden="false" customHeight="false" outlineLevel="0" collapsed="false">
      <c r="A238" s="8"/>
      <c r="B238" s="1"/>
      <c r="C238" s="1"/>
      <c r="D238" s="13"/>
      <c r="E238" s="13"/>
      <c r="F238" s="13"/>
      <c r="G238" s="13"/>
    </row>
    <row r="239" customFormat="false" ht="15" hidden="false" customHeight="false" outlineLevel="0" collapsed="false">
      <c r="A239" s="8"/>
      <c r="B239" s="1"/>
      <c r="C239" s="1"/>
      <c r="D239" s="13"/>
      <c r="E239" s="13"/>
      <c r="F239" s="13"/>
      <c r="G239" s="13"/>
    </row>
    <row r="240" customFormat="false" ht="15" hidden="false" customHeight="false" outlineLevel="0" collapsed="false">
      <c r="A240" s="8"/>
      <c r="B240" s="1"/>
      <c r="C240" s="1"/>
      <c r="D240" s="13"/>
      <c r="E240" s="13"/>
      <c r="F240" s="13"/>
      <c r="G240" s="13"/>
    </row>
    <row r="241" customFormat="false" ht="15" hidden="false" customHeight="false" outlineLevel="0" collapsed="false">
      <c r="A241" s="8"/>
      <c r="B241" s="1"/>
      <c r="C241" s="1"/>
      <c r="D241" s="13"/>
      <c r="E241" s="13"/>
      <c r="F241" s="13"/>
      <c r="G241" s="13"/>
    </row>
    <row r="242" customFormat="false" ht="15" hidden="false" customHeight="false" outlineLevel="0" collapsed="false">
      <c r="A242" s="8"/>
      <c r="B242" s="1"/>
      <c r="C242" s="1"/>
      <c r="D242" s="13"/>
      <c r="E242" s="13"/>
      <c r="F242" s="13"/>
      <c r="G242" s="13"/>
    </row>
    <row r="243" customFormat="false" ht="15" hidden="false" customHeight="false" outlineLevel="0" collapsed="false">
      <c r="A243" s="8"/>
      <c r="B243" s="1"/>
      <c r="C243" s="1"/>
      <c r="D243" s="13"/>
      <c r="E243" s="13"/>
      <c r="F243" s="13"/>
      <c r="G243" s="13"/>
    </row>
    <row r="244" customFormat="false" ht="15" hidden="false" customHeight="false" outlineLevel="0" collapsed="false">
      <c r="A244" s="8"/>
      <c r="B244" s="1"/>
      <c r="C244" s="1"/>
      <c r="D244" s="13"/>
      <c r="E244" s="13"/>
      <c r="F244" s="13"/>
      <c r="G244" s="13"/>
    </row>
    <row r="245" customFormat="false" ht="15" hidden="false" customHeight="false" outlineLevel="0" collapsed="false">
      <c r="A245" s="8"/>
      <c r="B245" s="1"/>
      <c r="C245" s="1"/>
      <c r="D245" s="13"/>
      <c r="E245" s="13"/>
      <c r="F245" s="13"/>
      <c r="G245" s="13"/>
    </row>
    <row r="246" customFormat="false" ht="15" hidden="false" customHeight="false" outlineLevel="0" collapsed="false">
      <c r="A246" s="8"/>
      <c r="B246" s="1"/>
      <c r="C246" s="1"/>
      <c r="D246" s="13"/>
      <c r="E246" s="13"/>
      <c r="F246" s="13"/>
      <c r="G246" s="13"/>
    </row>
    <row r="247" customFormat="false" ht="15" hidden="false" customHeight="false" outlineLevel="0" collapsed="false">
      <c r="A247" s="8"/>
      <c r="B247" s="1"/>
      <c r="C247" s="1"/>
      <c r="D247" s="13"/>
      <c r="E247" s="13"/>
      <c r="F247" s="13"/>
      <c r="G247" s="13"/>
    </row>
    <row r="248" customFormat="false" ht="15" hidden="false" customHeight="false" outlineLevel="0" collapsed="false">
      <c r="A248" s="8"/>
      <c r="B248" s="1"/>
      <c r="C248" s="1"/>
      <c r="D248" s="13"/>
      <c r="E248" s="13"/>
      <c r="F248" s="13"/>
      <c r="G248" s="13"/>
    </row>
    <row r="249" customFormat="false" ht="15" hidden="false" customHeight="false" outlineLevel="0" collapsed="false">
      <c r="A249" s="8"/>
      <c r="B249" s="1"/>
      <c r="C249" s="1"/>
      <c r="D249" s="13"/>
      <c r="E249" s="13"/>
      <c r="F249" s="13"/>
      <c r="G249" s="13"/>
    </row>
    <row r="250" customFormat="false" ht="15" hidden="false" customHeight="false" outlineLevel="0" collapsed="false">
      <c r="A250" s="8"/>
      <c r="B250" s="1"/>
      <c r="C250" s="1"/>
      <c r="D250" s="13"/>
      <c r="E250" s="13"/>
      <c r="F250" s="13"/>
      <c r="G250" s="13"/>
    </row>
    <row r="251" customFormat="false" ht="15" hidden="false" customHeight="false" outlineLevel="0" collapsed="false">
      <c r="A251" s="8"/>
      <c r="B251" s="1"/>
      <c r="C251" s="1"/>
      <c r="D251" s="13"/>
      <c r="E251" s="13"/>
      <c r="F251" s="13"/>
      <c r="G251" s="13"/>
    </row>
    <row r="252" customFormat="false" ht="15" hidden="false" customHeight="false" outlineLevel="0" collapsed="false">
      <c r="A252" s="8"/>
      <c r="B252" s="1"/>
      <c r="C252" s="1"/>
      <c r="D252" s="13"/>
      <c r="E252" s="13"/>
      <c r="F252" s="13"/>
      <c r="G252" s="13"/>
    </row>
    <row r="253" customFormat="false" ht="15" hidden="false" customHeight="false" outlineLevel="0" collapsed="false">
      <c r="A253" s="8"/>
      <c r="B253" s="1"/>
      <c r="C253" s="1"/>
      <c r="D253" s="13"/>
      <c r="E253" s="13"/>
      <c r="F253" s="13"/>
      <c r="G253" s="13"/>
    </row>
    <row r="254" customFormat="false" ht="15" hidden="false" customHeight="false" outlineLevel="0" collapsed="false">
      <c r="A254" s="8"/>
      <c r="B254" s="1"/>
      <c r="C254" s="1"/>
      <c r="D254" s="13"/>
      <c r="E254" s="13"/>
      <c r="F254" s="13"/>
      <c r="G254" s="13"/>
    </row>
    <row r="255" customFormat="false" ht="15" hidden="false" customHeight="false" outlineLevel="0" collapsed="false">
      <c r="A255" s="8"/>
      <c r="B255" s="1"/>
      <c r="C255" s="1"/>
      <c r="D255" s="13"/>
      <c r="E255" s="13"/>
      <c r="F255" s="13"/>
      <c r="G255" s="13"/>
    </row>
    <row r="256" customFormat="false" ht="15" hidden="false" customHeight="false" outlineLevel="0" collapsed="false">
      <c r="A256" s="8"/>
      <c r="B256" s="1"/>
      <c r="C256" s="1"/>
      <c r="D256" s="13"/>
      <c r="E256" s="13"/>
      <c r="F256" s="13"/>
      <c r="G256" s="13"/>
    </row>
    <row r="257" customFormat="false" ht="15" hidden="false" customHeight="false" outlineLevel="0" collapsed="false">
      <c r="A257" s="8"/>
      <c r="B257" s="1"/>
      <c r="C257" s="1"/>
      <c r="D257" s="13"/>
      <c r="E257" s="13"/>
      <c r="F257" s="13"/>
      <c r="G257" s="13"/>
    </row>
    <row r="258" customFormat="false" ht="15" hidden="false" customHeight="false" outlineLevel="0" collapsed="false">
      <c r="A258" s="8"/>
      <c r="B258" s="1"/>
      <c r="C258" s="1"/>
      <c r="D258" s="13"/>
      <c r="E258" s="13"/>
      <c r="F258" s="13"/>
      <c r="G258" s="13"/>
    </row>
    <row r="259" customFormat="false" ht="15" hidden="false" customHeight="false" outlineLevel="0" collapsed="false">
      <c r="A259" s="8"/>
      <c r="B259" s="1"/>
      <c r="C259" s="1"/>
      <c r="D259" s="13"/>
      <c r="E259" s="13"/>
      <c r="F259" s="13"/>
      <c r="G259" s="13"/>
    </row>
    <row r="260" customFormat="false" ht="15" hidden="false" customHeight="false" outlineLevel="0" collapsed="false">
      <c r="A260" s="8"/>
      <c r="B260" s="1"/>
      <c r="C260" s="1"/>
      <c r="D260" s="13"/>
      <c r="E260" s="13"/>
      <c r="F260" s="13"/>
      <c r="G260" s="13"/>
    </row>
    <row r="261" customFormat="false" ht="15" hidden="false" customHeight="false" outlineLevel="0" collapsed="false">
      <c r="A261" s="8"/>
      <c r="B261" s="1"/>
      <c r="C261" s="1"/>
      <c r="D261" s="13"/>
      <c r="E261" s="13"/>
      <c r="F261" s="13"/>
      <c r="G261" s="13"/>
    </row>
    <row r="262" customFormat="false" ht="15" hidden="false" customHeight="false" outlineLevel="0" collapsed="false">
      <c r="A262" s="8"/>
      <c r="B262" s="1"/>
      <c r="C262" s="1"/>
      <c r="D262" s="13"/>
      <c r="E262" s="13"/>
      <c r="F262" s="13"/>
      <c r="G262" s="13"/>
    </row>
    <row r="263" customFormat="false" ht="15" hidden="false" customHeight="false" outlineLevel="0" collapsed="false">
      <c r="A263" s="8"/>
      <c r="B263" s="1"/>
      <c r="C263" s="1"/>
      <c r="D263" s="13"/>
      <c r="E263" s="13"/>
      <c r="F263" s="13"/>
      <c r="G263" s="13"/>
    </row>
    <row r="264" customFormat="false" ht="15" hidden="false" customHeight="false" outlineLevel="0" collapsed="false">
      <c r="A264" s="8"/>
      <c r="B264" s="1"/>
      <c r="C264" s="1"/>
      <c r="D264" s="13"/>
      <c r="E264" s="13"/>
      <c r="F264" s="13"/>
      <c r="G264" s="13"/>
    </row>
    <row r="265" customFormat="false" ht="15" hidden="false" customHeight="false" outlineLevel="0" collapsed="false">
      <c r="A265" s="8"/>
      <c r="B265" s="1"/>
      <c r="C265" s="1"/>
      <c r="D265" s="13"/>
      <c r="E265" s="13"/>
      <c r="F265" s="13"/>
      <c r="G265" s="13"/>
    </row>
    <row r="266" customFormat="false" ht="15" hidden="false" customHeight="false" outlineLevel="0" collapsed="false">
      <c r="A266" s="8"/>
      <c r="B266" s="1"/>
      <c r="C266" s="1"/>
      <c r="D266" s="13"/>
      <c r="E266" s="13"/>
      <c r="F266" s="13"/>
      <c r="G266" s="13"/>
    </row>
    <row r="267" customFormat="false" ht="15" hidden="false" customHeight="false" outlineLevel="0" collapsed="false">
      <c r="A267" s="8"/>
      <c r="B267" s="1"/>
      <c r="C267" s="1"/>
      <c r="D267" s="13"/>
      <c r="E267" s="13"/>
      <c r="F267" s="13"/>
      <c r="G267" s="13"/>
    </row>
    <row r="268" customFormat="false" ht="15" hidden="false" customHeight="false" outlineLevel="0" collapsed="false">
      <c r="A268" s="8"/>
      <c r="B268" s="1"/>
      <c r="C268" s="1"/>
      <c r="D268" s="13"/>
      <c r="E268" s="13"/>
      <c r="F268" s="13"/>
      <c r="G268" s="13"/>
    </row>
    <row r="269" customFormat="false" ht="15" hidden="false" customHeight="false" outlineLevel="0" collapsed="false">
      <c r="A269" s="8"/>
      <c r="B269" s="1"/>
      <c r="C269" s="1"/>
      <c r="D269" s="13"/>
      <c r="E269" s="13"/>
      <c r="F269" s="13"/>
      <c r="G269" s="13"/>
    </row>
    <row r="270" customFormat="false" ht="15" hidden="false" customHeight="false" outlineLevel="0" collapsed="false">
      <c r="A270" s="8"/>
      <c r="B270" s="1"/>
      <c r="C270" s="1"/>
      <c r="D270" s="13"/>
      <c r="E270" s="13"/>
      <c r="F270" s="13"/>
      <c r="G270" s="13"/>
    </row>
    <row r="271" customFormat="false" ht="15" hidden="false" customHeight="false" outlineLevel="0" collapsed="false">
      <c r="A271" s="8"/>
      <c r="B271" s="1"/>
      <c r="C271" s="1"/>
      <c r="D271" s="13"/>
      <c r="E271" s="13"/>
      <c r="F271" s="13"/>
      <c r="G271" s="13"/>
    </row>
    <row r="272" customFormat="false" ht="15" hidden="false" customHeight="false" outlineLevel="0" collapsed="false">
      <c r="A272" s="8"/>
      <c r="B272" s="1"/>
      <c r="C272" s="1"/>
      <c r="D272" s="13"/>
      <c r="E272" s="13"/>
      <c r="F272" s="13"/>
      <c r="G272" s="13"/>
    </row>
    <row r="273" customFormat="false" ht="15" hidden="false" customHeight="false" outlineLevel="0" collapsed="false">
      <c r="A273" s="8"/>
      <c r="B273" s="1"/>
      <c r="C273" s="1"/>
      <c r="D273" s="13"/>
      <c r="E273" s="13"/>
      <c r="F273" s="13"/>
      <c r="G273" s="13"/>
    </row>
    <row r="274" customFormat="false" ht="15" hidden="false" customHeight="false" outlineLevel="0" collapsed="false">
      <c r="A274" s="8"/>
      <c r="B274" s="1"/>
      <c r="C274" s="1"/>
      <c r="D274" s="13"/>
      <c r="E274" s="13"/>
      <c r="F274" s="13"/>
      <c r="G274" s="13"/>
    </row>
    <row r="275" customFormat="false" ht="15" hidden="false" customHeight="false" outlineLevel="0" collapsed="false">
      <c r="A275" s="8"/>
      <c r="B275" s="1"/>
      <c r="C275" s="1"/>
      <c r="D275" s="13"/>
      <c r="E275" s="13"/>
      <c r="F275" s="13"/>
      <c r="G275" s="13"/>
    </row>
    <row r="276" customFormat="false" ht="15" hidden="false" customHeight="false" outlineLevel="0" collapsed="false">
      <c r="A276" s="8"/>
      <c r="B276" s="1"/>
      <c r="C276" s="1"/>
      <c r="D276" s="13"/>
      <c r="E276" s="13"/>
      <c r="F276" s="13"/>
      <c r="G276" s="13"/>
    </row>
    <row r="277" customFormat="false" ht="15" hidden="false" customHeight="false" outlineLevel="0" collapsed="false">
      <c r="A277" s="8"/>
      <c r="B277" s="1"/>
      <c r="C277" s="1"/>
      <c r="D277" s="13"/>
      <c r="E277" s="13"/>
      <c r="F277" s="13"/>
      <c r="G277" s="13"/>
    </row>
    <row r="278" customFormat="false" ht="15" hidden="false" customHeight="false" outlineLevel="0" collapsed="false">
      <c r="A278" s="8"/>
      <c r="B278" s="1"/>
      <c r="C278" s="1"/>
      <c r="D278" s="13"/>
      <c r="E278" s="13"/>
      <c r="F278" s="13"/>
      <c r="G278" s="13"/>
    </row>
    <row r="279" customFormat="false" ht="15" hidden="false" customHeight="false" outlineLevel="0" collapsed="false">
      <c r="A279" s="8"/>
      <c r="B279" s="1"/>
      <c r="C279" s="1"/>
      <c r="D279" s="13"/>
      <c r="E279" s="13"/>
      <c r="F279" s="13"/>
      <c r="G279" s="13"/>
    </row>
    <row r="280" customFormat="false" ht="15" hidden="false" customHeight="false" outlineLevel="0" collapsed="false">
      <c r="A280" s="8"/>
      <c r="B280" s="1"/>
      <c r="C280" s="1"/>
      <c r="D280" s="13"/>
      <c r="E280" s="13"/>
      <c r="F280" s="13"/>
      <c r="G280" s="13"/>
    </row>
    <row r="281" customFormat="false" ht="15" hidden="false" customHeight="false" outlineLevel="0" collapsed="false">
      <c r="A281" s="8"/>
      <c r="B281" s="1"/>
      <c r="C281" s="1"/>
      <c r="D281" s="13"/>
      <c r="E281" s="13"/>
      <c r="F281" s="13"/>
      <c r="G281" s="13"/>
    </row>
    <row r="282" customFormat="false" ht="15" hidden="false" customHeight="false" outlineLevel="0" collapsed="false">
      <c r="A282" s="8"/>
      <c r="B282" s="1"/>
      <c r="C282" s="1"/>
      <c r="D282" s="13"/>
      <c r="E282" s="13"/>
      <c r="F282" s="13"/>
      <c r="G282" s="13"/>
    </row>
    <row r="283" customFormat="false" ht="15" hidden="false" customHeight="false" outlineLevel="0" collapsed="false">
      <c r="A283" s="8"/>
      <c r="B283" s="1"/>
      <c r="C283" s="1"/>
      <c r="D283" s="13"/>
      <c r="E283" s="13"/>
      <c r="F283" s="13"/>
      <c r="G283" s="13"/>
    </row>
    <row r="284" customFormat="false" ht="15" hidden="false" customHeight="false" outlineLevel="0" collapsed="false">
      <c r="A284" s="8"/>
      <c r="B284" s="1"/>
      <c r="C284" s="1"/>
      <c r="D284" s="13"/>
      <c r="E284" s="13"/>
      <c r="F284" s="13"/>
      <c r="G284" s="13"/>
    </row>
    <row r="285" customFormat="false" ht="15" hidden="false" customHeight="false" outlineLevel="0" collapsed="false">
      <c r="A285" s="8"/>
      <c r="B285" s="1"/>
      <c r="C285" s="1"/>
      <c r="D285" s="13"/>
      <c r="E285" s="13"/>
      <c r="F285" s="13"/>
      <c r="G285" s="13"/>
    </row>
    <row r="286" customFormat="false" ht="15" hidden="false" customHeight="false" outlineLevel="0" collapsed="false">
      <c r="A286" s="8"/>
      <c r="B286" s="1"/>
      <c r="C286" s="1"/>
      <c r="D286" s="13"/>
      <c r="E286" s="13"/>
      <c r="F286" s="13"/>
      <c r="G286" s="13"/>
    </row>
    <row r="287" customFormat="false" ht="15" hidden="false" customHeight="false" outlineLevel="0" collapsed="false">
      <c r="A287" s="8"/>
      <c r="B287" s="1"/>
      <c r="C287" s="1"/>
      <c r="D287" s="13"/>
      <c r="E287" s="13"/>
      <c r="F287" s="13"/>
      <c r="G287" s="13"/>
    </row>
    <row r="288" customFormat="false" ht="15" hidden="false" customHeight="false" outlineLevel="0" collapsed="false">
      <c r="A288" s="8"/>
      <c r="B288" s="1"/>
      <c r="C288" s="1"/>
      <c r="D288" s="13"/>
      <c r="E288" s="13"/>
      <c r="F288" s="13"/>
      <c r="G288" s="13"/>
    </row>
    <row r="289" customFormat="false" ht="15" hidden="false" customHeight="false" outlineLevel="0" collapsed="false">
      <c r="A289" s="8"/>
      <c r="B289" s="1"/>
      <c r="C289" s="1"/>
      <c r="D289" s="13"/>
      <c r="E289" s="13"/>
      <c r="F289" s="13"/>
      <c r="G289" s="13"/>
    </row>
    <row r="290" customFormat="false" ht="15" hidden="false" customHeight="false" outlineLevel="0" collapsed="false">
      <c r="A290" s="8"/>
      <c r="B290" s="1"/>
      <c r="C290" s="1"/>
      <c r="D290" s="13"/>
      <c r="E290" s="13"/>
      <c r="F290" s="13"/>
      <c r="G290" s="13"/>
    </row>
    <row r="291" customFormat="false" ht="15" hidden="false" customHeight="false" outlineLevel="0" collapsed="false">
      <c r="A291" s="8"/>
      <c r="B291" s="1"/>
      <c r="C291" s="1"/>
      <c r="D291" s="13"/>
      <c r="E291" s="13"/>
      <c r="F291" s="13"/>
      <c r="G291" s="13"/>
    </row>
    <row r="292" customFormat="false" ht="15" hidden="false" customHeight="false" outlineLevel="0" collapsed="false">
      <c r="A292" s="8"/>
      <c r="B292" s="1"/>
      <c r="C292" s="1"/>
      <c r="D292" s="13"/>
      <c r="E292" s="13"/>
      <c r="F292" s="13"/>
      <c r="G292" s="13"/>
    </row>
    <row r="293" customFormat="false" ht="15" hidden="false" customHeight="false" outlineLevel="0" collapsed="false">
      <c r="A293" s="8"/>
      <c r="B293" s="1"/>
      <c r="C293" s="1"/>
      <c r="D293" s="13"/>
      <c r="E293" s="13"/>
      <c r="F293" s="13"/>
      <c r="G293" s="13"/>
    </row>
    <row r="294" customFormat="false" ht="15" hidden="false" customHeight="false" outlineLevel="0" collapsed="false">
      <c r="A294" s="8"/>
      <c r="B294" s="1"/>
      <c r="C294" s="1"/>
      <c r="D294" s="13"/>
      <c r="E294" s="13"/>
      <c r="F294" s="13"/>
      <c r="G294" s="13"/>
    </row>
    <row r="295" customFormat="false" ht="15" hidden="false" customHeight="false" outlineLevel="0" collapsed="false">
      <c r="A295" s="8"/>
      <c r="B295" s="1"/>
      <c r="C295" s="1"/>
      <c r="D295" s="13"/>
      <c r="E295" s="13"/>
      <c r="F295" s="13"/>
      <c r="G295" s="13"/>
    </row>
    <row r="296" customFormat="false" ht="15" hidden="false" customHeight="false" outlineLevel="0" collapsed="false">
      <c r="A296" s="8"/>
      <c r="B296" s="1"/>
      <c r="C296" s="1"/>
      <c r="D296" s="13"/>
      <c r="E296" s="13"/>
      <c r="F296" s="13"/>
      <c r="G296" s="13"/>
    </row>
    <row r="297" customFormat="false" ht="15" hidden="false" customHeight="false" outlineLevel="0" collapsed="false">
      <c r="A297" s="8"/>
      <c r="B297" s="1"/>
      <c r="C297" s="1"/>
      <c r="D297" s="13"/>
      <c r="E297" s="13"/>
      <c r="F297" s="13"/>
      <c r="G297" s="13"/>
    </row>
    <row r="298" customFormat="false" ht="15" hidden="false" customHeight="false" outlineLevel="0" collapsed="false">
      <c r="A298" s="8"/>
      <c r="B298" s="1"/>
      <c r="C298" s="1"/>
      <c r="D298" s="13"/>
      <c r="E298" s="13"/>
      <c r="F298" s="13"/>
      <c r="G298" s="13"/>
    </row>
    <row r="299" customFormat="false" ht="15" hidden="false" customHeight="false" outlineLevel="0" collapsed="false">
      <c r="A299" s="8"/>
      <c r="B299" s="1"/>
      <c r="C299" s="1"/>
      <c r="D299" s="13"/>
      <c r="E299" s="13"/>
      <c r="F299" s="13"/>
      <c r="G299" s="13"/>
    </row>
    <row r="300" customFormat="false" ht="15" hidden="false" customHeight="false" outlineLevel="0" collapsed="false">
      <c r="A300" s="8"/>
      <c r="B300" s="1"/>
      <c r="C300" s="1"/>
      <c r="D300" s="13"/>
      <c r="E300" s="13"/>
      <c r="F300" s="13"/>
      <c r="G300" s="13"/>
    </row>
    <row r="301" customFormat="false" ht="15" hidden="false" customHeight="false" outlineLevel="0" collapsed="false">
      <c r="A301" s="8"/>
      <c r="B301" s="1"/>
      <c r="C301" s="1"/>
      <c r="D301" s="13"/>
      <c r="E301" s="13"/>
      <c r="F301" s="13"/>
      <c r="G301" s="13"/>
    </row>
    <row r="302" customFormat="false" ht="15" hidden="false" customHeight="false" outlineLevel="0" collapsed="false">
      <c r="A302" s="8"/>
      <c r="B302" s="1"/>
      <c r="C302" s="1"/>
      <c r="D302" s="13"/>
      <c r="E302" s="13"/>
      <c r="F302" s="13"/>
      <c r="G302" s="13"/>
    </row>
    <row r="303" customFormat="false" ht="15" hidden="false" customHeight="false" outlineLevel="0" collapsed="false">
      <c r="A303" s="8"/>
      <c r="B303" s="1"/>
      <c r="C303" s="1"/>
      <c r="D303" s="13"/>
      <c r="E303" s="13"/>
      <c r="F303" s="13"/>
      <c r="G303" s="13"/>
    </row>
    <row r="304" customFormat="false" ht="15" hidden="false" customHeight="false" outlineLevel="0" collapsed="false">
      <c r="A304" s="8"/>
      <c r="B304" s="1"/>
      <c r="C304" s="1"/>
      <c r="D304" s="13"/>
      <c r="E304" s="13"/>
      <c r="F304" s="13"/>
      <c r="G304" s="13"/>
    </row>
    <row r="305" customFormat="false" ht="15" hidden="false" customHeight="false" outlineLevel="0" collapsed="false">
      <c r="A305" s="8"/>
      <c r="B305" s="1"/>
      <c r="C305" s="1"/>
      <c r="D305" s="13"/>
      <c r="E305" s="13"/>
      <c r="F305" s="13"/>
      <c r="G305" s="13"/>
    </row>
    <row r="306" customFormat="false" ht="15" hidden="false" customHeight="false" outlineLevel="0" collapsed="false">
      <c r="A306" s="8"/>
      <c r="B306" s="1"/>
      <c r="C306" s="1"/>
      <c r="D306" s="13"/>
      <c r="E306" s="13"/>
      <c r="F306" s="13"/>
      <c r="G306" s="13"/>
    </row>
    <row r="307" customFormat="false" ht="15" hidden="false" customHeight="false" outlineLevel="0" collapsed="false">
      <c r="A307" s="8"/>
      <c r="B307" s="1"/>
      <c r="C307" s="1"/>
      <c r="D307" s="13"/>
      <c r="E307" s="13"/>
      <c r="F307" s="13"/>
      <c r="G307" s="13"/>
    </row>
    <row r="308" customFormat="false" ht="15" hidden="false" customHeight="false" outlineLevel="0" collapsed="false">
      <c r="A308" s="8"/>
      <c r="B308" s="1"/>
      <c r="C308" s="1"/>
      <c r="D308" s="13"/>
      <c r="E308" s="13"/>
      <c r="F308" s="13"/>
      <c r="G308" s="13"/>
    </row>
    <row r="309" customFormat="false" ht="15" hidden="false" customHeight="false" outlineLevel="0" collapsed="false">
      <c r="A309" s="8"/>
      <c r="B309" s="1"/>
      <c r="C309" s="1"/>
      <c r="D309" s="13"/>
      <c r="E309" s="13"/>
      <c r="F309" s="13"/>
      <c r="G309" s="13"/>
    </row>
    <row r="310" customFormat="false" ht="15" hidden="false" customHeight="false" outlineLevel="0" collapsed="false">
      <c r="A310" s="8"/>
      <c r="B310" s="1"/>
      <c r="C310" s="1"/>
      <c r="D310" s="13"/>
      <c r="E310" s="13"/>
      <c r="F310" s="13"/>
      <c r="G310" s="13"/>
    </row>
    <row r="311" customFormat="false" ht="15" hidden="false" customHeight="false" outlineLevel="0" collapsed="false">
      <c r="A311" s="8"/>
      <c r="B311" s="1"/>
      <c r="C311" s="1"/>
      <c r="D311" s="13"/>
      <c r="E311" s="13"/>
      <c r="F311" s="13"/>
      <c r="G311" s="13"/>
    </row>
    <row r="312" customFormat="false" ht="15" hidden="false" customHeight="false" outlineLevel="0" collapsed="false">
      <c r="A312" s="8"/>
      <c r="B312" s="1"/>
      <c r="C312" s="1"/>
      <c r="D312" s="13"/>
      <c r="E312" s="13"/>
      <c r="F312" s="13"/>
      <c r="G312" s="13"/>
    </row>
    <row r="313" customFormat="false" ht="15" hidden="false" customHeight="false" outlineLevel="0" collapsed="false">
      <c r="A313" s="8"/>
      <c r="B313" s="1"/>
      <c r="C313" s="1"/>
      <c r="D313" s="13"/>
      <c r="E313" s="13"/>
      <c r="F313" s="13"/>
      <c r="G313" s="13"/>
    </row>
    <row r="314" customFormat="false" ht="15" hidden="false" customHeight="false" outlineLevel="0" collapsed="false">
      <c r="A314" s="8"/>
      <c r="B314" s="1"/>
      <c r="C314" s="1"/>
      <c r="D314" s="13"/>
      <c r="E314" s="13"/>
      <c r="F314" s="13"/>
      <c r="G314" s="13"/>
    </row>
    <row r="315" customFormat="false" ht="15" hidden="false" customHeight="false" outlineLevel="0" collapsed="false">
      <c r="A315" s="8"/>
      <c r="B315" s="1"/>
      <c r="C315" s="1"/>
      <c r="D315" s="13"/>
      <c r="E315" s="13"/>
      <c r="F315" s="13"/>
      <c r="G315" s="13"/>
    </row>
    <row r="316" customFormat="false" ht="15" hidden="false" customHeight="false" outlineLevel="0" collapsed="false">
      <c r="A316" s="8"/>
      <c r="B316" s="1"/>
      <c r="C316" s="1"/>
      <c r="D316" s="13"/>
      <c r="E316" s="13"/>
      <c r="F316" s="13"/>
      <c r="G316" s="13"/>
    </row>
    <row r="317" customFormat="false" ht="15" hidden="false" customHeight="false" outlineLevel="0" collapsed="false">
      <c r="A317" s="8"/>
      <c r="B317" s="1"/>
      <c r="C317" s="1"/>
      <c r="D317" s="13"/>
      <c r="E317" s="13"/>
      <c r="F317" s="13"/>
      <c r="G317" s="13"/>
    </row>
    <row r="318" customFormat="false" ht="15" hidden="false" customHeight="false" outlineLevel="0" collapsed="false">
      <c r="A318" s="8"/>
      <c r="B318" s="1"/>
      <c r="C318" s="1"/>
      <c r="D318" s="13"/>
      <c r="E318" s="13"/>
      <c r="F318" s="13"/>
      <c r="G318" s="13"/>
    </row>
    <row r="319" customFormat="false" ht="15" hidden="false" customHeight="false" outlineLevel="0" collapsed="false">
      <c r="A319" s="8"/>
      <c r="B319" s="1"/>
      <c r="C319" s="1"/>
      <c r="D319" s="13"/>
      <c r="E319" s="13"/>
      <c r="F319" s="13"/>
      <c r="G319" s="13"/>
    </row>
    <row r="320" customFormat="false" ht="15" hidden="false" customHeight="false" outlineLevel="0" collapsed="false">
      <c r="A320" s="8"/>
      <c r="B320" s="1"/>
      <c r="C320" s="1"/>
      <c r="D320" s="13"/>
      <c r="E320" s="13"/>
      <c r="F320" s="13"/>
      <c r="G320" s="13"/>
    </row>
    <row r="321" customFormat="false" ht="15" hidden="false" customHeight="false" outlineLevel="0" collapsed="false">
      <c r="A321" s="8"/>
      <c r="B321" s="1"/>
      <c r="C321" s="1"/>
      <c r="D321" s="13"/>
      <c r="E321" s="13"/>
      <c r="F321" s="13"/>
      <c r="G321" s="13"/>
    </row>
    <row r="322" customFormat="false" ht="15" hidden="false" customHeight="false" outlineLevel="0" collapsed="false">
      <c r="A322" s="8"/>
      <c r="B322" s="1"/>
      <c r="C322" s="1"/>
      <c r="D322" s="13"/>
      <c r="E322" s="13"/>
      <c r="F322" s="13"/>
      <c r="G322" s="13"/>
    </row>
    <row r="323" customFormat="false" ht="15" hidden="false" customHeight="false" outlineLevel="0" collapsed="false">
      <c r="A323" s="8"/>
      <c r="B323" s="1"/>
      <c r="C323" s="1"/>
      <c r="D323" s="13"/>
      <c r="E323" s="13"/>
      <c r="F323" s="13"/>
      <c r="G323" s="13"/>
    </row>
    <row r="324" customFormat="false" ht="15" hidden="false" customHeight="false" outlineLevel="0" collapsed="false">
      <c r="A324" s="8"/>
      <c r="B324" s="1"/>
      <c r="C324" s="1"/>
      <c r="D324" s="13"/>
      <c r="E324" s="13"/>
      <c r="F324" s="13"/>
      <c r="G324" s="13"/>
    </row>
    <row r="325" customFormat="false" ht="15" hidden="false" customHeight="false" outlineLevel="0" collapsed="false">
      <c r="A325" s="8"/>
      <c r="B325" s="1"/>
      <c r="C325" s="1"/>
      <c r="D325" s="13"/>
      <c r="E325" s="13"/>
      <c r="F325" s="13"/>
      <c r="G325" s="13"/>
    </row>
    <row r="326" customFormat="false" ht="15" hidden="false" customHeight="false" outlineLevel="0" collapsed="false">
      <c r="A326" s="8"/>
      <c r="B326" s="1"/>
      <c r="C326" s="1"/>
      <c r="D326" s="13"/>
      <c r="E326" s="13"/>
      <c r="F326" s="13"/>
      <c r="G326" s="13"/>
    </row>
    <row r="327" customFormat="false" ht="15" hidden="false" customHeight="false" outlineLevel="0" collapsed="false">
      <c r="A327" s="8"/>
      <c r="B327" s="1"/>
      <c r="C327" s="1"/>
      <c r="D327" s="13"/>
      <c r="E327" s="13"/>
      <c r="F327" s="13"/>
      <c r="G327" s="13"/>
    </row>
    <row r="328" customFormat="false" ht="15" hidden="false" customHeight="false" outlineLevel="0" collapsed="false">
      <c r="A328" s="8"/>
      <c r="B328" s="1"/>
      <c r="C328" s="1"/>
      <c r="D328" s="13"/>
      <c r="E328" s="13"/>
      <c r="F328" s="13"/>
      <c r="G328" s="13"/>
    </row>
    <row r="329" customFormat="false" ht="15" hidden="false" customHeight="false" outlineLevel="0" collapsed="false">
      <c r="A329" s="8"/>
      <c r="B329" s="1"/>
      <c r="C329" s="1"/>
      <c r="D329" s="13"/>
      <c r="E329" s="13"/>
      <c r="F329" s="13"/>
      <c r="G329" s="13"/>
    </row>
    <row r="330" customFormat="false" ht="15" hidden="false" customHeight="false" outlineLevel="0" collapsed="false">
      <c r="A330" s="8"/>
      <c r="B330" s="1"/>
      <c r="C330" s="1"/>
      <c r="D330" s="13"/>
      <c r="E330" s="13"/>
      <c r="F330" s="13"/>
      <c r="G330" s="13"/>
    </row>
    <row r="331" customFormat="false" ht="15" hidden="false" customHeight="false" outlineLevel="0" collapsed="false">
      <c r="A331" s="8"/>
      <c r="B331" s="1"/>
      <c r="C331" s="1"/>
      <c r="D331" s="13"/>
      <c r="E331" s="13"/>
      <c r="F331" s="13"/>
      <c r="G331" s="13"/>
    </row>
    <row r="332" customFormat="false" ht="15" hidden="false" customHeight="false" outlineLevel="0" collapsed="false">
      <c r="A332" s="8"/>
      <c r="B332" s="1"/>
      <c r="C332" s="1"/>
      <c r="D332" s="13"/>
      <c r="E332" s="13"/>
      <c r="F332" s="13"/>
      <c r="G332" s="13"/>
    </row>
    <row r="333" customFormat="false" ht="15" hidden="false" customHeight="false" outlineLevel="0" collapsed="false">
      <c r="A333" s="8"/>
      <c r="B333" s="1"/>
      <c r="C333" s="1"/>
      <c r="D333" s="13"/>
      <c r="E333" s="13"/>
      <c r="F333" s="13"/>
      <c r="G333" s="13"/>
    </row>
    <row r="334" customFormat="false" ht="15" hidden="false" customHeight="false" outlineLevel="0" collapsed="false">
      <c r="A334" s="8"/>
      <c r="B334" s="1"/>
      <c r="C334" s="1"/>
      <c r="D334" s="13"/>
      <c r="E334" s="13"/>
      <c r="F334" s="13"/>
      <c r="G334" s="13"/>
    </row>
    <row r="335" customFormat="false" ht="15" hidden="false" customHeight="false" outlineLevel="0" collapsed="false">
      <c r="A335" s="8"/>
      <c r="B335" s="1"/>
      <c r="C335" s="1"/>
      <c r="D335" s="13"/>
      <c r="E335" s="13"/>
      <c r="F335" s="13"/>
      <c r="G335" s="13"/>
    </row>
    <row r="336" customFormat="false" ht="15" hidden="false" customHeight="false" outlineLevel="0" collapsed="false">
      <c r="A336" s="8"/>
      <c r="B336" s="1"/>
      <c r="C336" s="1"/>
      <c r="D336" s="13"/>
      <c r="E336" s="13"/>
      <c r="F336" s="13"/>
      <c r="G336" s="13"/>
    </row>
    <row r="337" customFormat="false" ht="15" hidden="false" customHeight="false" outlineLevel="0" collapsed="false">
      <c r="A337" s="8"/>
      <c r="B337" s="1"/>
      <c r="C337" s="1"/>
      <c r="D337" s="13"/>
      <c r="E337" s="13"/>
      <c r="F337" s="13"/>
      <c r="G337" s="13"/>
    </row>
    <row r="338" customFormat="false" ht="15" hidden="false" customHeight="false" outlineLevel="0" collapsed="false">
      <c r="A338" s="8"/>
      <c r="B338" s="1"/>
      <c r="C338" s="1"/>
      <c r="D338" s="13"/>
      <c r="E338" s="13"/>
      <c r="F338" s="13"/>
      <c r="G338" s="13"/>
    </row>
    <row r="339" customFormat="false" ht="15" hidden="false" customHeight="false" outlineLevel="0" collapsed="false">
      <c r="A339" s="8"/>
      <c r="B339" s="1"/>
      <c r="C339" s="1"/>
      <c r="D339" s="13"/>
      <c r="E339" s="13"/>
      <c r="F339" s="13"/>
      <c r="G339" s="13"/>
    </row>
    <row r="340" customFormat="false" ht="15" hidden="false" customHeight="false" outlineLevel="0" collapsed="false">
      <c r="A340" s="8"/>
      <c r="B340" s="1"/>
      <c r="C340" s="1"/>
      <c r="D340" s="13"/>
      <c r="E340" s="13"/>
      <c r="F340" s="13"/>
      <c r="G340" s="13"/>
    </row>
    <row r="341" customFormat="false" ht="15" hidden="false" customHeight="false" outlineLevel="0" collapsed="false">
      <c r="A341" s="8"/>
      <c r="B341" s="1"/>
      <c r="C341" s="1"/>
      <c r="D341" s="13"/>
      <c r="E341" s="13"/>
      <c r="F341" s="13"/>
      <c r="G341" s="13"/>
    </row>
    <row r="342" customFormat="false" ht="15" hidden="false" customHeight="false" outlineLevel="0" collapsed="false">
      <c r="A342" s="8"/>
      <c r="B342" s="1"/>
      <c r="C342" s="1"/>
      <c r="D342" s="13"/>
      <c r="E342" s="13"/>
      <c r="F342" s="13"/>
      <c r="G342" s="13"/>
    </row>
    <row r="343" customFormat="false" ht="15" hidden="false" customHeight="false" outlineLevel="0" collapsed="false">
      <c r="A343" s="8"/>
      <c r="B343" s="1"/>
      <c r="C343" s="1"/>
      <c r="D343" s="13"/>
      <c r="E343" s="13"/>
      <c r="F343" s="13"/>
      <c r="G343" s="13"/>
    </row>
    <row r="344" customFormat="false" ht="15" hidden="false" customHeight="false" outlineLevel="0" collapsed="false">
      <c r="A344" s="8"/>
      <c r="B344" s="1"/>
      <c r="C344" s="1"/>
      <c r="D344" s="13"/>
      <c r="E344" s="13"/>
      <c r="F344" s="13"/>
      <c r="G344" s="13"/>
    </row>
    <row r="345" customFormat="false" ht="15" hidden="false" customHeight="false" outlineLevel="0" collapsed="false">
      <c r="A345" s="8"/>
      <c r="B345" s="1"/>
      <c r="C345" s="1"/>
      <c r="D345" s="13"/>
      <c r="E345" s="13"/>
      <c r="F345" s="13"/>
      <c r="G345" s="13"/>
    </row>
    <row r="346" customFormat="false" ht="15" hidden="false" customHeight="false" outlineLevel="0" collapsed="false">
      <c r="A346" s="8"/>
      <c r="B346" s="1"/>
      <c r="C346" s="1"/>
      <c r="D346" s="13"/>
      <c r="E346" s="13"/>
      <c r="F346" s="13"/>
      <c r="G346" s="13"/>
    </row>
    <row r="347" customFormat="false" ht="15" hidden="false" customHeight="false" outlineLevel="0" collapsed="false">
      <c r="A347" s="8"/>
      <c r="B347" s="1"/>
      <c r="C347" s="1"/>
      <c r="D347" s="13"/>
      <c r="E347" s="13"/>
      <c r="F347" s="13"/>
      <c r="G347" s="13"/>
    </row>
    <row r="348" customFormat="false" ht="15" hidden="false" customHeight="false" outlineLevel="0" collapsed="false">
      <c r="A348" s="8"/>
      <c r="B348" s="1"/>
      <c r="C348" s="1"/>
      <c r="D348" s="13"/>
      <c r="E348" s="13"/>
      <c r="F348" s="13"/>
      <c r="G348" s="13"/>
    </row>
    <row r="349" customFormat="false" ht="15" hidden="false" customHeight="false" outlineLevel="0" collapsed="false">
      <c r="A349" s="8"/>
      <c r="B349" s="1"/>
      <c r="C349" s="1"/>
      <c r="D349" s="13"/>
      <c r="E349" s="13"/>
      <c r="F349" s="13"/>
      <c r="G349" s="13"/>
    </row>
    <row r="350" customFormat="false" ht="15" hidden="false" customHeight="false" outlineLevel="0" collapsed="false">
      <c r="A350" s="8"/>
      <c r="B350" s="1"/>
      <c r="C350" s="1"/>
      <c r="D350" s="13"/>
      <c r="E350" s="13"/>
      <c r="F350" s="13"/>
      <c r="G350" s="13"/>
    </row>
    <row r="351" customFormat="false" ht="15" hidden="false" customHeight="false" outlineLevel="0" collapsed="false">
      <c r="A351" s="8"/>
      <c r="B351" s="1"/>
      <c r="C351" s="1"/>
      <c r="D351" s="13"/>
      <c r="E351" s="13"/>
      <c r="F351" s="13"/>
      <c r="G351" s="13"/>
    </row>
    <row r="352" customFormat="false" ht="15" hidden="false" customHeight="false" outlineLevel="0" collapsed="false">
      <c r="A352" s="8"/>
      <c r="B352" s="1"/>
      <c r="C352" s="1"/>
      <c r="D352" s="13"/>
      <c r="E352" s="13"/>
      <c r="F352" s="13"/>
      <c r="G352" s="13"/>
    </row>
    <row r="353" customFormat="false" ht="15" hidden="false" customHeight="false" outlineLevel="0" collapsed="false">
      <c r="A353" s="8"/>
      <c r="B353" s="1"/>
      <c r="C353" s="1"/>
      <c r="D353" s="13"/>
      <c r="E353" s="13"/>
      <c r="F353" s="13"/>
      <c r="G353" s="13"/>
    </row>
    <row r="354" customFormat="false" ht="15" hidden="false" customHeight="false" outlineLevel="0" collapsed="false">
      <c r="A354" s="8"/>
      <c r="B354" s="1"/>
      <c r="C354" s="1"/>
      <c r="D354" s="13"/>
      <c r="E354" s="13"/>
      <c r="F354" s="13"/>
      <c r="G354" s="13"/>
    </row>
    <row r="355" customFormat="false" ht="15" hidden="false" customHeight="false" outlineLevel="0" collapsed="false">
      <c r="A355" s="8"/>
      <c r="B355" s="1"/>
      <c r="C355" s="1"/>
      <c r="D355" s="13"/>
      <c r="E355" s="13"/>
      <c r="F355" s="13"/>
      <c r="G355" s="13"/>
    </row>
    <row r="356" customFormat="false" ht="15" hidden="false" customHeight="false" outlineLevel="0" collapsed="false">
      <c r="A356" s="8"/>
      <c r="B356" s="1"/>
      <c r="C356" s="1"/>
      <c r="D356" s="13"/>
      <c r="E356" s="13"/>
      <c r="F356" s="13"/>
      <c r="G356" s="13"/>
    </row>
    <row r="357" customFormat="false" ht="15" hidden="false" customHeight="false" outlineLevel="0" collapsed="false">
      <c r="A357" s="8"/>
      <c r="B357" s="1"/>
      <c r="C357" s="1"/>
      <c r="D357" s="13"/>
      <c r="E357" s="13"/>
      <c r="F357" s="13"/>
      <c r="G357" s="13"/>
    </row>
    <row r="358" customFormat="false" ht="15" hidden="false" customHeight="false" outlineLevel="0" collapsed="false">
      <c r="A358" s="8"/>
      <c r="B358" s="1"/>
      <c r="C358" s="1"/>
      <c r="D358" s="13"/>
      <c r="E358" s="13"/>
      <c r="F358" s="13"/>
      <c r="G358" s="13"/>
    </row>
    <row r="359" customFormat="false" ht="15" hidden="false" customHeight="false" outlineLevel="0" collapsed="false">
      <c r="A359" s="8"/>
      <c r="B359" s="1"/>
      <c r="C359" s="1"/>
      <c r="D359" s="13"/>
      <c r="E359" s="13"/>
      <c r="F359" s="13"/>
      <c r="G359" s="13"/>
    </row>
    <row r="360" customFormat="false" ht="15" hidden="false" customHeight="false" outlineLevel="0" collapsed="false">
      <c r="A360" s="8"/>
      <c r="B360" s="1"/>
      <c r="C360" s="1"/>
      <c r="D360" s="13"/>
      <c r="E360" s="13"/>
      <c r="F360" s="13"/>
      <c r="G360" s="13"/>
    </row>
    <row r="361" customFormat="false" ht="15" hidden="false" customHeight="false" outlineLevel="0" collapsed="false">
      <c r="A361" s="8"/>
      <c r="B361" s="1"/>
      <c r="C361" s="1"/>
      <c r="D361" s="13"/>
      <c r="E361" s="13"/>
      <c r="F361" s="13"/>
      <c r="G361" s="13"/>
    </row>
    <row r="362" customFormat="false" ht="15" hidden="false" customHeight="false" outlineLevel="0" collapsed="false">
      <c r="A362" s="8"/>
      <c r="B362" s="1"/>
      <c r="C362" s="1"/>
      <c r="D362" s="13"/>
      <c r="E362" s="13"/>
      <c r="F362" s="13"/>
      <c r="G362" s="13"/>
    </row>
    <row r="363" customFormat="false" ht="15" hidden="false" customHeight="false" outlineLevel="0" collapsed="false">
      <c r="A363" s="8"/>
      <c r="B363" s="1"/>
      <c r="C363" s="1"/>
      <c r="D363" s="13"/>
      <c r="E363" s="13"/>
      <c r="F363" s="13"/>
      <c r="G363" s="13"/>
    </row>
    <row r="364" customFormat="false" ht="15" hidden="false" customHeight="false" outlineLevel="0" collapsed="false">
      <c r="A364" s="8"/>
      <c r="B364" s="1"/>
      <c r="C364" s="1"/>
      <c r="D364" s="13"/>
      <c r="E364" s="13"/>
      <c r="F364" s="13"/>
      <c r="G364" s="13"/>
    </row>
    <row r="365" customFormat="false" ht="15" hidden="false" customHeight="false" outlineLevel="0" collapsed="false">
      <c r="A365" s="8"/>
      <c r="B365" s="1"/>
      <c r="C365" s="1"/>
      <c r="D365" s="13"/>
      <c r="E365" s="13"/>
      <c r="F365" s="13"/>
      <c r="G365" s="13"/>
    </row>
    <row r="366" customFormat="false" ht="15" hidden="false" customHeight="false" outlineLevel="0" collapsed="false">
      <c r="A366" s="8"/>
      <c r="B366" s="1"/>
      <c r="C366" s="1"/>
      <c r="D366" s="13"/>
      <c r="E366" s="13"/>
      <c r="F366" s="13"/>
      <c r="G366" s="13"/>
    </row>
    <row r="367" customFormat="false" ht="15" hidden="false" customHeight="false" outlineLevel="0" collapsed="false">
      <c r="A367" s="8"/>
      <c r="B367" s="1"/>
      <c r="C367" s="1"/>
      <c r="D367" s="13"/>
      <c r="E367" s="13"/>
      <c r="F367" s="13"/>
      <c r="G367" s="13"/>
    </row>
    <row r="368" customFormat="false" ht="15" hidden="false" customHeight="false" outlineLevel="0" collapsed="false">
      <c r="A368" s="8"/>
      <c r="B368" s="1"/>
      <c r="C368" s="1"/>
      <c r="D368" s="13"/>
      <c r="E368" s="13"/>
      <c r="F368" s="13"/>
      <c r="G368" s="13"/>
    </row>
    <row r="369" customFormat="false" ht="15" hidden="false" customHeight="false" outlineLevel="0" collapsed="false">
      <c r="A369" s="8"/>
      <c r="B369" s="1"/>
      <c r="C369" s="1"/>
      <c r="D369" s="13"/>
      <c r="E369" s="13"/>
      <c r="F369" s="13"/>
      <c r="G369" s="13"/>
    </row>
    <row r="370" customFormat="false" ht="15" hidden="false" customHeight="false" outlineLevel="0" collapsed="false">
      <c r="A370" s="8"/>
      <c r="B370" s="1"/>
      <c r="C370" s="1"/>
      <c r="D370" s="13"/>
      <c r="E370" s="13"/>
      <c r="F370" s="13"/>
      <c r="G370" s="13"/>
    </row>
    <row r="371" customFormat="false" ht="15" hidden="false" customHeight="false" outlineLevel="0" collapsed="false">
      <c r="A371" s="8"/>
      <c r="B371" s="1"/>
      <c r="C371" s="1"/>
      <c r="D371" s="13"/>
      <c r="E371" s="13"/>
      <c r="F371" s="13"/>
      <c r="G371" s="13"/>
    </row>
    <row r="372" customFormat="false" ht="15" hidden="false" customHeight="false" outlineLevel="0" collapsed="false">
      <c r="A372" s="8"/>
      <c r="B372" s="1"/>
      <c r="C372" s="1"/>
      <c r="D372" s="13"/>
      <c r="E372" s="13"/>
      <c r="F372" s="13"/>
      <c r="G372" s="13"/>
    </row>
    <row r="373" customFormat="false" ht="15" hidden="false" customHeight="false" outlineLevel="0" collapsed="false">
      <c r="A373" s="8"/>
      <c r="B373" s="1"/>
      <c r="C373" s="1"/>
      <c r="D373" s="13"/>
      <c r="E373" s="13"/>
      <c r="F373" s="13"/>
      <c r="G373" s="13"/>
    </row>
    <row r="374" customFormat="false" ht="15" hidden="false" customHeight="false" outlineLevel="0" collapsed="false">
      <c r="A374" s="8"/>
      <c r="B374" s="1"/>
      <c r="C374" s="1"/>
      <c r="D374" s="13"/>
      <c r="E374" s="13"/>
      <c r="F374" s="13"/>
      <c r="G374" s="13"/>
    </row>
    <row r="375" customFormat="false" ht="15" hidden="false" customHeight="false" outlineLevel="0" collapsed="false">
      <c r="A375" s="8"/>
      <c r="B375" s="1"/>
      <c r="C375" s="1"/>
      <c r="D375" s="13"/>
      <c r="E375" s="13"/>
      <c r="F375" s="13"/>
      <c r="G375" s="13"/>
    </row>
    <row r="376" customFormat="false" ht="15" hidden="false" customHeight="false" outlineLevel="0" collapsed="false">
      <c r="A376" s="8"/>
      <c r="B376" s="1"/>
      <c r="C376" s="1"/>
      <c r="D376" s="13"/>
      <c r="E376" s="13"/>
      <c r="F376" s="13"/>
      <c r="G376" s="13"/>
    </row>
    <row r="377" customFormat="false" ht="15" hidden="false" customHeight="false" outlineLevel="0" collapsed="false">
      <c r="A377" s="8"/>
      <c r="B377" s="1"/>
      <c r="C377" s="1"/>
      <c r="D377" s="13"/>
      <c r="E377" s="13"/>
      <c r="F377" s="13"/>
      <c r="G377" s="13"/>
    </row>
    <row r="378" customFormat="false" ht="15" hidden="false" customHeight="false" outlineLevel="0" collapsed="false">
      <c r="A378" s="8"/>
      <c r="B378" s="1"/>
      <c r="C378" s="1"/>
      <c r="D378" s="13"/>
      <c r="E378" s="13"/>
      <c r="F378" s="13"/>
      <c r="G378" s="13"/>
    </row>
    <row r="379" customFormat="false" ht="15" hidden="false" customHeight="false" outlineLevel="0" collapsed="false">
      <c r="A379" s="8"/>
      <c r="B379" s="1"/>
      <c r="C379" s="1"/>
      <c r="D379" s="13"/>
      <c r="E379" s="13"/>
      <c r="F379" s="13"/>
      <c r="G379" s="13"/>
    </row>
    <row r="380" customFormat="false" ht="15" hidden="false" customHeight="false" outlineLevel="0" collapsed="false">
      <c r="A380" s="8"/>
      <c r="B380" s="1"/>
      <c r="C380" s="1"/>
      <c r="D380" s="13"/>
      <c r="E380" s="13"/>
      <c r="F380" s="13"/>
      <c r="G380" s="13"/>
    </row>
    <row r="381" customFormat="false" ht="15" hidden="false" customHeight="false" outlineLevel="0" collapsed="false">
      <c r="A381" s="8"/>
      <c r="B381" s="1"/>
      <c r="C381" s="1"/>
      <c r="D381" s="13"/>
      <c r="E381" s="13"/>
      <c r="F381" s="13"/>
      <c r="G381" s="13"/>
    </row>
    <row r="382" customFormat="false" ht="15" hidden="false" customHeight="false" outlineLevel="0" collapsed="false">
      <c r="A382" s="8"/>
      <c r="B382" s="1"/>
      <c r="C382" s="1"/>
      <c r="D382" s="13"/>
      <c r="E382" s="13"/>
      <c r="F382" s="13"/>
      <c r="G382" s="13"/>
    </row>
    <row r="383" customFormat="false" ht="15" hidden="false" customHeight="false" outlineLevel="0" collapsed="false">
      <c r="A383" s="8"/>
      <c r="B383" s="1"/>
      <c r="C383" s="1"/>
      <c r="D383" s="13"/>
      <c r="E383" s="13"/>
      <c r="F383" s="13"/>
      <c r="G383" s="13"/>
    </row>
    <row r="384" customFormat="false" ht="15" hidden="false" customHeight="false" outlineLevel="0" collapsed="false">
      <c r="A384" s="8"/>
      <c r="B384" s="1"/>
      <c r="C384" s="1"/>
      <c r="D384" s="13"/>
      <c r="E384" s="13"/>
      <c r="F384" s="13"/>
      <c r="G384" s="13"/>
    </row>
    <row r="385" customFormat="false" ht="15" hidden="false" customHeight="false" outlineLevel="0" collapsed="false">
      <c r="A385" s="8"/>
      <c r="B385" s="1"/>
      <c r="C385" s="1"/>
      <c r="D385" s="13"/>
      <c r="E385" s="13"/>
      <c r="F385" s="13"/>
      <c r="G385" s="13"/>
    </row>
    <row r="386" customFormat="false" ht="15" hidden="false" customHeight="false" outlineLevel="0" collapsed="false">
      <c r="A386" s="8"/>
      <c r="B386" s="1"/>
      <c r="C386" s="1"/>
      <c r="D386" s="13"/>
      <c r="E386" s="13"/>
      <c r="F386" s="13"/>
      <c r="G386" s="13"/>
    </row>
    <row r="387" customFormat="false" ht="15" hidden="false" customHeight="false" outlineLevel="0" collapsed="false">
      <c r="A387" s="8"/>
      <c r="B387" s="1"/>
      <c r="C387" s="1"/>
      <c r="D387" s="13"/>
      <c r="E387" s="13"/>
      <c r="F387" s="13"/>
      <c r="G387" s="13"/>
    </row>
    <row r="388" customFormat="false" ht="15" hidden="false" customHeight="false" outlineLevel="0" collapsed="false">
      <c r="A388" s="8"/>
      <c r="B388" s="1"/>
      <c r="C388" s="1"/>
      <c r="D388" s="13"/>
      <c r="E388" s="13"/>
      <c r="F388" s="13"/>
      <c r="G388" s="13"/>
    </row>
    <row r="389" customFormat="false" ht="15" hidden="false" customHeight="false" outlineLevel="0" collapsed="false">
      <c r="A389" s="8"/>
      <c r="B389" s="1"/>
      <c r="C389" s="1"/>
      <c r="D389" s="13"/>
      <c r="E389" s="13"/>
      <c r="F389" s="13"/>
      <c r="G389" s="13"/>
    </row>
    <row r="390" customFormat="false" ht="15" hidden="false" customHeight="false" outlineLevel="0" collapsed="false">
      <c r="A390" s="8"/>
      <c r="B390" s="1"/>
      <c r="C390" s="1"/>
      <c r="D390" s="13"/>
      <c r="E390" s="13"/>
      <c r="F390" s="13"/>
      <c r="G390" s="13"/>
    </row>
    <row r="391" customFormat="false" ht="15" hidden="false" customHeight="false" outlineLevel="0" collapsed="false">
      <c r="A391" s="8"/>
      <c r="B391" s="1"/>
      <c r="C391" s="1"/>
      <c r="D391" s="13"/>
      <c r="E391" s="13"/>
      <c r="F391" s="13"/>
      <c r="G391" s="13"/>
    </row>
    <row r="392" customFormat="false" ht="15" hidden="false" customHeight="false" outlineLevel="0" collapsed="false">
      <c r="A392" s="8"/>
      <c r="B392" s="1"/>
      <c r="C392" s="1"/>
      <c r="D392" s="13"/>
      <c r="E392" s="13"/>
      <c r="F392" s="13"/>
      <c r="G392" s="13"/>
    </row>
    <row r="393" customFormat="false" ht="15" hidden="false" customHeight="false" outlineLevel="0" collapsed="false">
      <c r="A393" s="8"/>
      <c r="B393" s="1"/>
      <c r="C393" s="1"/>
      <c r="D393" s="13"/>
      <c r="E393" s="13"/>
      <c r="F393" s="13"/>
      <c r="G393" s="13"/>
    </row>
    <row r="394" customFormat="false" ht="15" hidden="false" customHeight="false" outlineLevel="0" collapsed="false">
      <c r="A394" s="8"/>
      <c r="B394" s="1"/>
      <c r="C394" s="1"/>
      <c r="D394" s="13"/>
      <c r="E394" s="13"/>
      <c r="F394" s="13"/>
      <c r="G394" s="13"/>
    </row>
    <row r="395" customFormat="false" ht="15" hidden="false" customHeight="false" outlineLevel="0" collapsed="false">
      <c r="A395" s="8"/>
      <c r="B395" s="1"/>
      <c r="C395" s="1"/>
      <c r="D395" s="13"/>
      <c r="E395" s="13"/>
      <c r="F395" s="13"/>
      <c r="G395" s="13"/>
    </row>
    <row r="396" customFormat="false" ht="15" hidden="false" customHeight="false" outlineLevel="0" collapsed="false">
      <c r="A396" s="8"/>
      <c r="B396" s="1"/>
      <c r="C396" s="1"/>
      <c r="D396" s="13"/>
      <c r="E396" s="13"/>
      <c r="F396" s="13"/>
      <c r="G396" s="13"/>
    </row>
    <row r="397" customFormat="false" ht="15" hidden="false" customHeight="false" outlineLevel="0" collapsed="false">
      <c r="A397" s="8"/>
      <c r="B397" s="1"/>
      <c r="C397" s="1"/>
      <c r="D397" s="13"/>
      <c r="E397" s="13"/>
      <c r="F397" s="13"/>
      <c r="G397" s="13"/>
    </row>
    <row r="398" customFormat="false" ht="15" hidden="false" customHeight="false" outlineLevel="0" collapsed="false">
      <c r="A398" s="8"/>
      <c r="B398" s="1"/>
      <c r="C398" s="1"/>
      <c r="D398" s="13"/>
      <c r="E398" s="13"/>
      <c r="F398" s="13"/>
      <c r="G398" s="13"/>
    </row>
    <row r="399" customFormat="false" ht="15" hidden="false" customHeight="false" outlineLevel="0" collapsed="false">
      <c r="A399" s="8"/>
      <c r="B399" s="1"/>
      <c r="C399" s="1"/>
      <c r="D399" s="13"/>
      <c r="E399" s="13"/>
      <c r="F399" s="13"/>
      <c r="G399" s="13"/>
    </row>
    <row r="400" customFormat="false" ht="15" hidden="false" customHeight="false" outlineLevel="0" collapsed="false">
      <c r="A400" s="8"/>
      <c r="B400" s="1"/>
      <c r="C400" s="1"/>
      <c r="D400" s="13"/>
      <c r="E400" s="13"/>
      <c r="F400" s="13"/>
      <c r="G400" s="13"/>
    </row>
    <row r="401" customFormat="false" ht="15" hidden="false" customHeight="false" outlineLevel="0" collapsed="false">
      <c r="A401" s="8"/>
      <c r="B401" s="1"/>
      <c r="C401" s="1"/>
      <c r="D401" s="13"/>
      <c r="E401" s="13"/>
      <c r="F401" s="13"/>
      <c r="G401" s="13"/>
    </row>
    <row r="402" customFormat="false" ht="15" hidden="false" customHeight="false" outlineLevel="0" collapsed="false">
      <c r="A402" s="8"/>
      <c r="B402" s="1"/>
      <c r="C402" s="1"/>
      <c r="D402" s="13"/>
      <c r="E402" s="13"/>
      <c r="F402" s="13"/>
      <c r="G402" s="13"/>
    </row>
    <row r="403" customFormat="false" ht="15" hidden="false" customHeight="false" outlineLevel="0" collapsed="false">
      <c r="A403" s="8"/>
      <c r="B403" s="1"/>
      <c r="C403" s="1"/>
      <c r="D403" s="13"/>
      <c r="E403" s="13"/>
      <c r="F403" s="13"/>
      <c r="G403" s="13"/>
    </row>
    <row r="404" customFormat="false" ht="15" hidden="false" customHeight="false" outlineLevel="0" collapsed="false">
      <c r="A404" s="8"/>
      <c r="B404" s="1"/>
      <c r="C404" s="1"/>
      <c r="D404" s="13"/>
      <c r="E404" s="13"/>
      <c r="F404" s="13"/>
      <c r="G404" s="13"/>
    </row>
    <row r="405" customFormat="false" ht="15" hidden="false" customHeight="false" outlineLevel="0" collapsed="false">
      <c r="A405" s="8"/>
      <c r="B405" s="1"/>
      <c r="C405" s="1"/>
      <c r="D405" s="13"/>
      <c r="E405" s="13"/>
      <c r="F405" s="13"/>
      <c r="G405" s="13"/>
    </row>
    <row r="406" customFormat="false" ht="15" hidden="false" customHeight="false" outlineLevel="0" collapsed="false">
      <c r="A406" s="8"/>
      <c r="B406" s="1"/>
      <c r="C406" s="1"/>
      <c r="D406" s="13"/>
      <c r="E406" s="13"/>
      <c r="F406" s="13"/>
      <c r="G406" s="13"/>
    </row>
    <row r="407" customFormat="false" ht="15" hidden="false" customHeight="false" outlineLevel="0" collapsed="false">
      <c r="A407" s="8"/>
      <c r="B407" s="1"/>
      <c r="C407" s="1"/>
      <c r="D407" s="13"/>
      <c r="E407" s="13"/>
      <c r="F407" s="13"/>
      <c r="G407" s="13"/>
    </row>
    <row r="408" customFormat="false" ht="15" hidden="false" customHeight="false" outlineLevel="0" collapsed="false">
      <c r="A408" s="8"/>
      <c r="B408" s="1"/>
      <c r="C408" s="1"/>
      <c r="D408" s="13"/>
      <c r="E408" s="13"/>
      <c r="F408" s="13"/>
      <c r="G408" s="13"/>
    </row>
    <row r="409" customFormat="false" ht="15" hidden="false" customHeight="false" outlineLevel="0" collapsed="false">
      <c r="A409" s="8"/>
      <c r="B409" s="1"/>
      <c r="C409" s="1"/>
      <c r="D409" s="13"/>
      <c r="E409" s="13"/>
      <c r="F409" s="13"/>
      <c r="G409" s="13"/>
    </row>
    <row r="410" customFormat="false" ht="15" hidden="false" customHeight="false" outlineLevel="0" collapsed="false">
      <c r="A410" s="8"/>
      <c r="B410" s="1"/>
      <c r="C410" s="1"/>
      <c r="D410" s="13"/>
      <c r="E410" s="13"/>
      <c r="F410" s="13"/>
      <c r="G410" s="13"/>
    </row>
    <row r="411" customFormat="false" ht="15" hidden="false" customHeight="false" outlineLevel="0" collapsed="false">
      <c r="A411" s="8"/>
      <c r="B411" s="1"/>
      <c r="C411" s="1"/>
      <c r="D411" s="13"/>
      <c r="E411" s="13"/>
      <c r="F411" s="13"/>
      <c r="G411" s="13"/>
    </row>
    <row r="412" customFormat="false" ht="15" hidden="false" customHeight="false" outlineLevel="0" collapsed="false">
      <c r="A412" s="8"/>
      <c r="B412" s="1"/>
      <c r="C412" s="1"/>
      <c r="D412" s="13"/>
      <c r="E412" s="13"/>
      <c r="F412" s="13"/>
      <c r="G412" s="13"/>
    </row>
    <row r="413" customFormat="false" ht="15" hidden="false" customHeight="false" outlineLevel="0" collapsed="false">
      <c r="A413" s="8"/>
      <c r="B413" s="1"/>
      <c r="C413" s="1"/>
      <c r="D413" s="13"/>
      <c r="E413" s="13"/>
      <c r="F413" s="13"/>
      <c r="G413" s="13"/>
    </row>
    <row r="414" customFormat="false" ht="15" hidden="false" customHeight="false" outlineLevel="0" collapsed="false">
      <c r="A414" s="8"/>
      <c r="B414" s="1"/>
      <c r="C414" s="1"/>
      <c r="D414" s="13"/>
      <c r="E414" s="13"/>
      <c r="F414" s="13"/>
      <c r="G414" s="13"/>
    </row>
    <row r="415" customFormat="false" ht="15" hidden="false" customHeight="false" outlineLevel="0" collapsed="false">
      <c r="A415" s="8"/>
      <c r="B415" s="1"/>
      <c r="C415" s="1"/>
      <c r="D415" s="13"/>
      <c r="E415" s="13"/>
      <c r="F415" s="13"/>
      <c r="G415" s="13"/>
    </row>
    <row r="416" customFormat="false" ht="15" hidden="false" customHeight="false" outlineLevel="0" collapsed="false">
      <c r="A416" s="8"/>
      <c r="B416" s="1"/>
      <c r="C416" s="1"/>
      <c r="D416" s="13"/>
      <c r="E416" s="13"/>
      <c r="F416" s="13"/>
      <c r="G416" s="13"/>
    </row>
    <row r="417" customFormat="false" ht="15" hidden="false" customHeight="false" outlineLevel="0" collapsed="false">
      <c r="A417" s="8"/>
      <c r="B417" s="1"/>
      <c r="C417" s="1"/>
      <c r="D417" s="13"/>
      <c r="E417" s="13"/>
      <c r="F417" s="13"/>
      <c r="G417" s="13"/>
    </row>
    <row r="418" customFormat="false" ht="15" hidden="false" customHeight="false" outlineLevel="0" collapsed="false">
      <c r="A418" s="8"/>
      <c r="B418" s="1"/>
      <c r="C418" s="1"/>
      <c r="D418" s="13"/>
      <c r="E418" s="13"/>
      <c r="F418" s="13"/>
      <c r="G418" s="13"/>
    </row>
    <row r="419" customFormat="false" ht="15" hidden="false" customHeight="false" outlineLevel="0" collapsed="false">
      <c r="A419" s="8"/>
      <c r="B419" s="1"/>
      <c r="C419" s="1"/>
      <c r="D419" s="13"/>
      <c r="E419" s="13"/>
      <c r="F419" s="13"/>
      <c r="G419" s="13"/>
    </row>
    <row r="420" customFormat="false" ht="15" hidden="false" customHeight="false" outlineLevel="0" collapsed="false">
      <c r="A420" s="8"/>
      <c r="B420" s="1"/>
      <c r="C420" s="1"/>
      <c r="D420" s="13"/>
      <c r="E420" s="13"/>
      <c r="F420" s="13"/>
      <c r="G420" s="13"/>
    </row>
    <row r="421" customFormat="false" ht="15" hidden="false" customHeight="false" outlineLevel="0" collapsed="false">
      <c r="A421" s="8"/>
      <c r="B421" s="1"/>
      <c r="C421" s="1"/>
      <c r="D421" s="13"/>
      <c r="E421" s="13"/>
      <c r="F421" s="13"/>
      <c r="G421" s="13"/>
    </row>
    <row r="422" customFormat="false" ht="15" hidden="false" customHeight="false" outlineLevel="0" collapsed="false">
      <c r="A422" s="8"/>
      <c r="B422" s="1"/>
      <c r="C422" s="1"/>
      <c r="D422" s="13"/>
      <c r="E422" s="13"/>
      <c r="F422" s="13"/>
      <c r="G422" s="13"/>
    </row>
    <row r="423" customFormat="false" ht="15" hidden="false" customHeight="false" outlineLevel="0" collapsed="false">
      <c r="A423" s="8"/>
      <c r="B423" s="1"/>
      <c r="C423" s="1"/>
      <c r="D423" s="13"/>
      <c r="E423" s="13"/>
      <c r="F423" s="13"/>
      <c r="G423" s="13"/>
    </row>
    <row r="424" customFormat="false" ht="15" hidden="false" customHeight="false" outlineLevel="0" collapsed="false">
      <c r="A424" s="8"/>
      <c r="B424" s="1"/>
      <c r="C424" s="1"/>
      <c r="D424" s="13"/>
      <c r="E424" s="13"/>
      <c r="F424" s="13"/>
      <c r="G424" s="13"/>
    </row>
    <row r="425" customFormat="false" ht="15" hidden="false" customHeight="false" outlineLevel="0" collapsed="false">
      <c r="A425" s="8"/>
      <c r="B425" s="1"/>
      <c r="C425" s="1"/>
      <c r="D425" s="13"/>
      <c r="E425" s="13"/>
      <c r="F425" s="13"/>
      <c r="G425" s="13"/>
    </row>
    <row r="426" customFormat="false" ht="15" hidden="false" customHeight="false" outlineLevel="0" collapsed="false">
      <c r="A426" s="8"/>
      <c r="B426" s="1"/>
      <c r="C426" s="1"/>
      <c r="D426" s="13"/>
      <c r="E426" s="13"/>
      <c r="F426" s="13"/>
      <c r="G426" s="13"/>
    </row>
    <row r="427" customFormat="false" ht="15" hidden="false" customHeight="false" outlineLevel="0" collapsed="false">
      <c r="A427" s="8"/>
      <c r="B427" s="1"/>
      <c r="C427" s="1"/>
      <c r="D427" s="13"/>
      <c r="E427" s="13"/>
      <c r="F427" s="13"/>
      <c r="G427" s="13"/>
    </row>
    <row r="428" customFormat="false" ht="15" hidden="false" customHeight="false" outlineLevel="0" collapsed="false">
      <c r="A428" s="8"/>
      <c r="B428" s="1"/>
      <c r="C428" s="1"/>
      <c r="D428" s="13"/>
      <c r="E428" s="13"/>
      <c r="F428" s="13"/>
      <c r="G428" s="13"/>
    </row>
    <row r="429" customFormat="false" ht="15" hidden="false" customHeight="false" outlineLevel="0" collapsed="false">
      <c r="A429" s="8"/>
      <c r="B429" s="1"/>
      <c r="C429" s="1"/>
      <c r="D429" s="13"/>
      <c r="E429" s="13"/>
      <c r="F429" s="13"/>
      <c r="G429" s="13"/>
    </row>
    <row r="430" customFormat="false" ht="15" hidden="false" customHeight="false" outlineLevel="0" collapsed="false">
      <c r="A430" s="8"/>
      <c r="B430" s="1"/>
      <c r="C430" s="1"/>
      <c r="D430" s="13"/>
      <c r="E430" s="13"/>
      <c r="F430" s="13"/>
      <c r="G430" s="13"/>
    </row>
    <row r="431" customFormat="false" ht="15" hidden="false" customHeight="false" outlineLevel="0" collapsed="false">
      <c r="A431" s="8"/>
      <c r="B431" s="1"/>
      <c r="C431" s="1"/>
      <c r="D431" s="13"/>
      <c r="E431" s="13"/>
      <c r="F431" s="13"/>
      <c r="G431" s="13"/>
    </row>
    <row r="432" customFormat="false" ht="15" hidden="false" customHeight="false" outlineLevel="0" collapsed="false">
      <c r="A432" s="8"/>
      <c r="B432" s="1"/>
      <c r="C432" s="1"/>
      <c r="D432" s="13"/>
      <c r="E432" s="13"/>
      <c r="F432" s="13"/>
      <c r="G432" s="13"/>
    </row>
    <row r="433" customFormat="false" ht="15" hidden="false" customHeight="false" outlineLevel="0" collapsed="false">
      <c r="A433" s="8"/>
      <c r="B433" s="1"/>
      <c r="C433" s="1"/>
      <c r="D433" s="13"/>
      <c r="E433" s="13"/>
      <c r="F433" s="13"/>
      <c r="G433" s="13"/>
    </row>
    <row r="434" customFormat="false" ht="15" hidden="false" customHeight="false" outlineLevel="0" collapsed="false">
      <c r="A434" s="8"/>
      <c r="B434" s="1"/>
      <c r="C434" s="1"/>
      <c r="D434" s="13"/>
      <c r="E434" s="13"/>
      <c r="F434" s="13"/>
      <c r="G434" s="13"/>
    </row>
    <row r="435" customFormat="false" ht="15" hidden="false" customHeight="false" outlineLevel="0" collapsed="false">
      <c r="A435" s="8"/>
      <c r="B435" s="1"/>
      <c r="C435" s="1"/>
      <c r="D435" s="13"/>
      <c r="E435" s="13"/>
      <c r="F435" s="13"/>
      <c r="G435" s="13"/>
    </row>
    <row r="436" customFormat="false" ht="15" hidden="false" customHeight="false" outlineLevel="0" collapsed="false">
      <c r="A436" s="8"/>
      <c r="B436" s="1"/>
      <c r="C436" s="1"/>
      <c r="D436" s="13"/>
      <c r="E436" s="13"/>
      <c r="F436" s="13"/>
      <c r="G436" s="13"/>
    </row>
    <row r="437" customFormat="false" ht="15" hidden="false" customHeight="false" outlineLevel="0" collapsed="false">
      <c r="A437" s="8"/>
      <c r="B437" s="1"/>
      <c r="C437" s="1"/>
      <c r="D437" s="13"/>
      <c r="E437" s="13"/>
      <c r="F437" s="13"/>
      <c r="G437" s="13"/>
    </row>
    <row r="438" customFormat="false" ht="15" hidden="false" customHeight="false" outlineLevel="0" collapsed="false">
      <c r="A438" s="8"/>
      <c r="B438" s="1"/>
      <c r="C438" s="1"/>
      <c r="D438" s="13"/>
      <c r="E438" s="13"/>
      <c r="F438" s="13"/>
      <c r="G438" s="13"/>
    </row>
    <row r="439" customFormat="false" ht="15" hidden="false" customHeight="false" outlineLevel="0" collapsed="false">
      <c r="A439" s="8"/>
      <c r="B439" s="1"/>
      <c r="C439" s="1"/>
      <c r="D439" s="13"/>
      <c r="E439" s="13"/>
      <c r="F439" s="13"/>
      <c r="G439" s="13"/>
    </row>
    <row r="440" customFormat="false" ht="15" hidden="false" customHeight="false" outlineLevel="0" collapsed="false">
      <c r="A440" s="8"/>
      <c r="B440" s="1"/>
      <c r="C440" s="1"/>
      <c r="D440" s="13"/>
      <c r="E440" s="13"/>
      <c r="F440" s="13"/>
      <c r="G440" s="13"/>
    </row>
    <row r="441" customFormat="false" ht="15" hidden="false" customHeight="false" outlineLevel="0" collapsed="false">
      <c r="A441" s="8"/>
      <c r="B441" s="1"/>
      <c r="C441" s="1"/>
      <c r="D441" s="13"/>
      <c r="E441" s="13"/>
      <c r="F441" s="13"/>
      <c r="G441" s="13"/>
    </row>
    <row r="442" customFormat="false" ht="15" hidden="false" customHeight="false" outlineLevel="0" collapsed="false">
      <c r="A442" s="8"/>
      <c r="B442" s="1"/>
      <c r="C442" s="1"/>
      <c r="D442" s="13"/>
      <c r="E442" s="13"/>
      <c r="F442" s="13"/>
      <c r="G442" s="13"/>
    </row>
    <row r="443" customFormat="false" ht="15" hidden="false" customHeight="false" outlineLevel="0" collapsed="false">
      <c r="A443" s="8"/>
      <c r="B443" s="1"/>
      <c r="C443" s="1"/>
      <c r="D443" s="13"/>
      <c r="E443" s="13"/>
      <c r="F443" s="13"/>
      <c r="G443" s="13"/>
    </row>
    <row r="444" customFormat="false" ht="15" hidden="false" customHeight="false" outlineLevel="0" collapsed="false">
      <c r="A444" s="8"/>
      <c r="B444" s="1"/>
      <c r="C444" s="1"/>
      <c r="D444" s="13"/>
      <c r="E444" s="13"/>
      <c r="F444" s="13"/>
      <c r="G444" s="13"/>
    </row>
    <row r="445" customFormat="false" ht="15" hidden="false" customHeight="false" outlineLevel="0" collapsed="false">
      <c r="A445" s="8"/>
      <c r="B445" s="1"/>
      <c r="C445" s="1"/>
      <c r="D445" s="13"/>
      <c r="E445" s="13"/>
      <c r="F445" s="13"/>
      <c r="G445" s="13"/>
    </row>
    <row r="446" customFormat="false" ht="15" hidden="false" customHeight="false" outlineLevel="0" collapsed="false">
      <c r="A446" s="8"/>
      <c r="B446" s="1"/>
      <c r="C446" s="1"/>
      <c r="D446" s="13"/>
      <c r="E446" s="13"/>
      <c r="F446" s="13"/>
      <c r="G446" s="13"/>
    </row>
    <row r="447" customFormat="false" ht="15" hidden="false" customHeight="false" outlineLevel="0" collapsed="false">
      <c r="A447" s="8"/>
      <c r="B447" s="1"/>
      <c r="C447" s="1"/>
      <c r="D447" s="13"/>
      <c r="E447" s="13"/>
      <c r="F447" s="13"/>
      <c r="G447" s="13"/>
    </row>
    <row r="448" customFormat="false" ht="15" hidden="false" customHeight="false" outlineLevel="0" collapsed="false">
      <c r="A448" s="8"/>
      <c r="B448" s="1"/>
      <c r="C448" s="1"/>
      <c r="D448" s="13"/>
      <c r="E448" s="13"/>
      <c r="F448" s="13"/>
      <c r="G448" s="13"/>
    </row>
    <row r="449" customFormat="false" ht="15" hidden="false" customHeight="false" outlineLevel="0" collapsed="false">
      <c r="A449" s="8"/>
      <c r="B449" s="1"/>
      <c r="C449" s="1"/>
      <c r="D449" s="13"/>
      <c r="E449" s="13"/>
      <c r="F449" s="13"/>
      <c r="G449" s="13"/>
    </row>
    <row r="450" customFormat="false" ht="15" hidden="false" customHeight="false" outlineLevel="0" collapsed="false">
      <c r="A450" s="8"/>
      <c r="B450" s="1"/>
      <c r="C450" s="1"/>
      <c r="D450" s="13"/>
      <c r="E450" s="13"/>
      <c r="F450" s="13"/>
      <c r="G450" s="13"/>
    </row>
    <row r="451" customFormat="false" ht="15" hidden="false" customHeight="false" outlineLevel="0" collapsed="false">
      <c r="A451" s="8"/>
      <c r="B451" s="1"/>
      <c r="C451" s="1"/>
      <c r="D451" s="13"/>
      <c r="E451" s="13"/>
      <c r="F451" s="13"/>
      <c r="G451" s="13"/>
    </row>
    <row r="452" customFormat="false" ht="15" hidden="false" customHeight="false" outlineLevel="0" collapsed="false">
      <c r="A452" s="8"/>
      <c r="B452" s="1"/>
      <c r="C452" s="1"/>
      <c r="D452" s="13"/>
      <c r="E452" s="13"/>
      <c r="F452" s="13"/>
      <c r="G452" s="13"/>
    </row>
    <row r="453" customFormat="false" ht="15" hidden="false" customHeight="false" outlineLevel="0" collapsed="false">
      <c r="A453" s="8"/>
      <c r="B453" s="1"/>
      <c r="C453" s="1"/>
      <c r="D453" s="13"/>
      <c r="E453" s="13"/>
      <c r="F453" s="13"/>
      <c r="G453" s="13"/>
    </row>
    <row r="454" customFormat="false" ht="15" hidden="false" customHeight="false" outlineLevel="0" collapsed="false">
      <c r="A454" s="8"/>
      <c r="B454" s="1"/>
      <c r="C454" s="1"/>
      <c r="D454" s="13"/>
      <c r="E454" s="13"/>
      <c r="F454" s="13"/>
      <c r="G454" s="13"/>
    </row>
    <row r="455" customFormat="false" ht="15" hidden="false" customHeight="false" outlineLevel="0" collapsed="false">
      <c r="A455" s="8"/>
      <c r="B455" s="1"/>
      <c r="C455" s="1"/>
      <c r="D455" s="13"/>
      <c r="E455" s="13"/>
      <c r="F455" s="13"/>
      <c r="G455" s="13"/>
    </row>
    <row r="456" customFormat="false" ht="15" hidden="false" customHeight="false" outlineLevel="0" collapsed="false">
      <c r="A456" s="8"/>
      <c r="B456" s="1"/>
      <c r="C456" s="1"/>
      <c r="D456" s="13"/>
      <c r="E456" s="13"/>
      <c r="F456" s="13"/>
      <c r="G456" s="13"/>
    </row>
    <row r="457" customFormat="false" ht="15" hidden="false" customHeight="false" outlineLevel="0" collapsed="false">
      <c r="A457" s="8"/>
      <c r="B457" s="1"/>
      <c r="C457" s="1"/>
      <c r="D457" s="13"/>
      <c r="E457" s="13"/>
      <c r="F457" s="13"/>
      <c r="G457" s="13"/>
    </row>
    <row r="458" customFormat="false" ht="15" hidden="false" customHeight="false" outlineLevel="0" collapsed="false">
      <c r="A458" s="8"/>
      <c r="B458" s="1"/>
      <c r="C458" s="1"/>
      <c r="D458" s="13"/>
      <c r="E458" s="13"/>
      <c r="F458" s="13"/>
      <c r="G458" s="13"/>
    </row>
    <row r="459" customFormat="false" ht="15" hidden="false" customHeight="false" outlineLevel="0" collapsed="false">
      <c r="A459" s="8"/>
      <c r="B459" s="1"/>
      <c r="C459" s="1"/>
      <c r="D459" s="13"/>
      <c r="E459" s="13"/>
      <c r="F459" s="13"/>
      <c r="G459" s="13"/>
    </row>
    <row r="460" customFormat="false" ht="15" hidden="false" customHeight="false" outlineLevel="0" collapsed="false">
      <c r="A460" s="8"/>
      <c r="B460" s="1"/>
      <c r="C460" s="1"/>
      <c r="D460" s="13"/>
      <c r="E460" s="13"/>
      <c r="F460" s="13"/>
      <c r="G460" s="13"/>
    </row>
    <row r="461" customFormat="false" ht="15" hidden="false" customHeight="false" outlineLevel="0" collapsed="false">
      <c r="A461" s="8"/>
      <c r="B461" s="1"/>
      <c r="C461" s="1"/>
      <c r="D461" s="13"/>
      <c r="E461" s="13"/>
      <c r="F461" s="13"/>
      <c r="G461" s="13"/>
    </row>
    <row r="462" customFormat="false" ht="15" hidden="false" customHeight="false" outlineLevel="0" collapsed="false">
      <c r="A462" s="8"/>
      <c r="B462" s="1"/>
      <c r="C462" s="1"/>
      <c r="D462" s="13"/>
      <c r="E462" s="13"/>
      <c r="F462" s="13"/>
      <c r="G462" s="13"/>
    </row>
    <row r="463" customFormat="false" ht="15" hidden="false" customHeight="false" outlineLevel="0" collapsed="false">
      <c r="A463" s="8"/>
      <c r="B463" s="1"/>
      <c r="C463" s="1"/>
      <c r="D463" s="13"/>
      <c r="E463" s="13"/>
      <c r="F463" s="13"/>
      <c r="G463" s="13"/>
    </row>
    <row r="464" customFormat="false" ht="15" hidden="false" customHeight="false" outlineLevel="0" collapsed="false">
      <c r="A464" s="8"/>
      <c r="B464" s="1"/>
      <c r="C464" s="1"/>
      <c r="D464" s="13"/>
      <c r="E464" s="13"/>
      <c r="F464" s="13"/>
      <c r="G464" s="13"/>
    </row>
    <row r="465" customFormat="false" ht="15" hidden="false" customHeight="false" outlineLevel="0" collapsed="false">
      <c r="A465" s="8"/>
      <c r="B465" s="1"/>
      <c r="C465" s="1"/>
      <c r="D465" s="13"/>
      <c r="E465" s="13"/>
      <c r="F465" s="13"/>
      <c r="G465" s="13"/>
    </row>
    <row r="466" customFormat="false" ht="15" hidden="false" customHeight="false" outlineLevel="0" collapsed="false">
      <c r="A466" s="8"/>
      <c r="B466" s="1"/>
      <c r="C466" s="1"/>
      <c r="D466" s="13"/>
      <c r="E466" s="13"/>
      <c r="F466" s="13"/>
      <c r="G466" s="13"/>
    </row>
    <row r="467" customFormat="false" ht="15" hidden="false" customHeight="false" outlineLevel="0" collapsed="false">
      <c r="A467" s="8"/>
      <c r="B467" s="1"/>
      <c r="C467" s="1"/>
      <c r="D467" s="13"/>
      <c r="E467" s="13"/>
      <c r="F467" s="13"/>
      <c r="G467" s="13"/>
    </row>
    <row r="468" customFormat="false" ht="15" hidden="false" customHeight="false" outlineLevel="0" collapsed="false">
      <c r="A468" s="8"/>
      <c r="B468" s="1"/>
      <c r="C468" s="1"/>
      <c r="D468" s="13"/>
      <c r="E468" s="13"/>
      <c r="F468" s="13"/>
      <c r="G468" s="13"/>
    </row>
    <row r="469" customFormat="false" ht="15" hidden="false" customHeight="false" outlineLevel="0" collapsed="false">
      <c r="A469" s="8"/>
      <c r="B469" s="1"/>
      <c r="C469" s="1"/>
      <c r="D469" s="13"/>
      <c r="E469" s="13"/>
      <c r="F469" s="13"/>
      <c r="G469" s="13"/>
    </row>
    <row r="470" customFormat="false" ht="15" hidden="false" customHeight="false" outlineLevel="0" collapsed="false">
      <c r="A470" s="8"/>
      <c r="B470" s="1"/>
      <c r="C470" s="1"/>
      <c r="D470" s="13"/>
      <c r="E470" s="13"/>
      <c r="F470" s="13"/>
      <c r="G470" s="13"/>
    </row>
    <row r="471" customFormat="false" ht="15" hidden="false" customHeight="false" outlineLevel="0" collapsed="false">
      <c r="A471" s="8"/>
      <c r="B471" s="1"/>
      <c r="C471" s="1"/>
      <c r="D471" s="13"/>
      <c r="E471" s="13"/>
      <c r="F471" s="13"/>
      <c r="G471" s="13"/>
    </row>
    <row r="472" customFormat="false" ht="15" hidden="false" customHeight="false" outlineLevel="0" collapsed="false">
      <c r="A472" s="8"/>
      <c r="B472" s="1"/>
      <c r="C472" s="1"/>
      <c r="D472" s="13"/>
      <c r="E472" s="13"/>
      <c r="F472" s="13"/>
      <c r="G472" s="13"/>
    </row>
    <row r="473" customFormat="false" ht="15" hidden="false" customHeight="false" outlineLevel="0" collapsed="false">
      <c r="A473" s="8"/>
      <c r="B473" s="1"/>
      <c r="C473" s="1"/>
      <c r="D473" s="13"/>
      <c r="E473" s="13"/>
      <c r="F473" s="13"/>
      <c r="G473" s="13"/>
    </row>
    <row r="474" customFormat="false" ht="15" hidden="false" customHeight="false" outlineLevel="0" collapsed="false">
      <c r="A474" s="8"/>
      <c r="B474" s="1"/>
      <c r="C474" s="1"/>
      <c r="D474" s="13"/>
      <c r="E474" s="13"/>
      <c r="F474" s="13"/>
      <c r="G474" s="13"/>
    </row>
    <row r="475" customFormat="false" ht="15" hidden="false" customHeight="false" outlineLevel="0" collapsed="false">
      <c r="A475" s="8"/>
      <c r="B475" s="1"/>
      <c r="C475" s="1"/>
      <c r="D475" s="13"/>
      <c r="E475" s="13"/>
      <c r="F475" s="13"/>
      <c r="G475" s="13"/>
    </row>
    <row r="476" customFormat="false" ht="15" hidden="false" customHeight="false" outlineLevel="0" collapsed="false">
      <c r="A476" s="8"/>
      <c r="B476" s="1"/>
      <c r="C476" s="1"/>
      <c r="D476" s="13"/>
      <c r="E476" s="13"/>
      <c r="F476" s="13"/>
      <c r="G476" s="13"/>
    </row>
    <row r="477" customFormat="false" ht="15" hidden="false" customHeight="false" outlineLevel="0" collapsed="false">
      <c r="A477" s="8"/>
      <c r="B477" s="1"/>
      <c r="C477" s="1"/>
      <c r="D477" s="13"/>
      <c r="E477" s="13"/>
      <c r="F477" s="13"/>
      <c r="G477" s="13"/>
    </row>
    <row r="478" customFormat="false" ht="15" hidden="false" customHeight="false" outlineLevel="0" collapsed="false">
      <c r="A478" s="8"/>
      <c r="B478" s="1"/>
      <c r="C478" s="1"/>
      <c r="D478" s="13"/>
      <c r="E478" s="13"/>
      <c r="F478" s="13"/>
      <c r="G478" s="13"/>
    </row>
    <row r="479" customFormat="false" ht="15" hidden="false" customHeight="false" outlineLevel="0" collapsed="false">
      <c r="A479" s="8"/>
      <c r="B479" s="1"/>
      <c r="C479" s="1"/>
      <c r="D479" s="13"/>
      <c r="E479" s="13"/>
      <c r="F479" s="13"/>
      <c r="G479" s="13"/>
    </row>
    <row r="480" customFormat="false" ht="15" hidden="false" customHeight="false" outlineLevel="0" collapsed="false">
      <c r="A480" s="8"/>
      <c r="B480" s="1"/>
      <c r="C480" s="1"/>
      <c r="D480" s="13"/>
      <c r="E480" s="13"/>
      <c r="F480" s="13"/>
      <c r="G480" s="13"/>
    </row>
    <row r="481" customFormat="false" ht="15" hidden="false" customHeight="false" outlineLevel="0" collapsed="false">
      <c r="A481" s="8"/>
      <c r="B481" s="1"/>
      <c r="C481" s="1"/>
      <c r="D481" s="13"/>
      <c r="E481" s="13"/>
      <c r="F481" s="13"/>
      <c r="G481" s="13"/>
    </row>
    <row r="482" customFormat="false" ht="15" hidden="false" customHeight="false" outlineLevel="0" collapsed="false">
      <c r="A482" s="8"/>
      <c r="B482" s="1"/>
      <c r="C482" s="1"/>
      <c r="D482" s="13"/>
      <c r="E482" s="13"/>
      <c r="F482" s="13"/>
      <c r="G482" s="13"/>
    </row>
    <row r="483" customFormat="false" ht="15" hidden="false" customHeight="false" outlineLevel="0" collapsed="false">
      <c r="A483" s="8"/>
      <c r="B483" s="1"/>
      <c r="C483" s="1"/>
      <c r="D483" s="13"/>
      <c r="E483" s="13"/>
      <c r="F483" s="13"/>
      <c r="G483" s="13"/>
    </row>
    <row r="484" customFormat="false" ht="15" hidden="false" customHeight="false" outlineLevel="0" collapsed="false">
      <c r="A484" s="8"/>
      <c r="B484" s="1"/>
      <c r="C484" s="1"/>
      <c r="D484" s="13"/>
      <c r="E484" s="13"/>
      <c r="F484" s="13"/>
      <c r="G484" s="13"/>
    </row>
    <row r="485" customFormat="false" ht="15" hidden="false" customHeight="false" outlineLevel="0" collapsed="false">
      <c r="A485" s="8"/>
      <c r="B485" s="1"/>
      <c r="C485" s="1"/>
      <c r="D485" s="13"/>
      <c r="E485" s="13"/>
      <c r="F485" s="13"/>
      <c r="G485" s="13"/>
    </row>
    <row r="486" customFormat="false" ht="15" hidden="false" customHeight="false" outlineLevel="0" collapsed="false">
      <c r="A486" s="8"/>
      <c r="B486" s="1"/>
      <c r="C486" s="1"/>
      <c r="D486" s="13"/>
      <c r="E486" s="13"/>
      <c r="F486" s="13"/>
      <c r="G486" s="13"/>
    </row>
    <row r="487" customFormat="false" ht="15" hidden="false" customHeight="false" outlineLevel="0" collapsed="false">
      <c r="A487" s="8"/>
      <c r="B487" s="1"/>
      <c r="C487" s="1"/>
      <c r="D487" s="13"/>
      <c r="E487" s="13"/>
      <c r="F487" s="13"/>
      <c r="G487" s="13"/>
    </row>
    <row r="488" customFormat="false" ht="15" hidden="false" customHeight="false" outlineLevel="0" collapsed="false">
      <c r="A488" s="8"/>
      <c r="B488" s="1"/>
      <c r="C488" s="1"/>
      <c r="D488" s="13"/>
      <c r="E488" s="13"/>
      <c r="F488" s="13"/>
      <c r="G488" s="13"/>
    </row>
    <row r="489" customFormat="false" ht="15" hidden="false" customHeight="false" outlineLevel="0" collapsed="false">
      <c r="A489" s="8"/>
      <c r="B489" s="1"/>
      <c r="C489" s="1"/>
      <c r="D489" s="13"/>
      <c r="E489" s="13"/>
      <c r="F489" s="13"/>
      <c r="G489" s="13"/>
    </row>
    <row r="490" customFormat="false" ht="15" hidden="false" customHeight="false" outlineLevel="0" collapsed="false">
      <c r="A490" s="8"/>
      <c r="B490" s="1"/>
      <c r="C490" s="1"/>
      <c r="D490" s="13"/>
      <c r="E490" s="13"/>
      <c r="F490" s="13"/>
      <c r="G490" s="13"/>
    </row>
    <row r="491" customFormat="false" ht="15" hidden="false" customHeight="false" outlineLevel="0" collapsed="false">
      <c r="A491" s="8"/>
      <c r="B491" s="1"/>
      <c r="C491" s="1"/>
      <c r="D491" s="13"/>
      <c r="E491" s="13"/>
      <c r="F491" s="13"/>
      <c r="G491" s="13"/>
    </row>
    <row r="492" customFormat="false" ht="15" hidden="false" customHeight="false" outlineLevel="0" collapsed="false">
      <c r="A492" s="8"/>
      <c r="B492" s="1"/>
      <c r="C492" s="1"/>
      <c r="D492" s="13"/>
      <c r="E492" s="13"/>
      <c r="F492" s="13"/>
      <c r="G492" s="13"/>
    </row>
    <row r="493" customFormat="false" ht="15" hidden="false" customHeight="false" outlineLevel="0" collapsed="false">
      <c r="A493" s="8"/>
      <c r="B493" s="1"/>
      <c r="C493" s="1"/>
      <c r="D493" s="13"/>
      <c r="E493" s="13"/>
      <c r="F493" s="13"/>
      <c r="G493" s="13"/>
    </row>
    <row r="494" customFormat="false" ht="15" hidden="false" customHeight="false" outlineLevel="0" collapsed="false">
      <c r="A494" s="8"/>
      <c r="B494" s="1"/>
      <c r="C494" s="1"/>
      <c r="D494" s="13"/>
      <c r="E494" s="13"/>
      <c r="F494" s="13"/>
      <c r="G494" s="13"/>
    </row>
    <row r="495" customFormat="false" ht="15" hidden="false" customHeight="false" outlineLevel="0" collapsed="false">
      <c r="A495" s="8"/>
      <c r="B495" s="1"/>
      <c r="C495" s="1"/>
      <c r="D495" s="13"/>
      <c r="E495" s="13"/>
      <c r="F495" s="13"/>
      <c r="G495" s="13"/>
    </row>
    <row r="496" customFormat="false" ht="15" hidden="false" customHeight="false" outlineLevel="0" collapsed="false">
      <c r="A496" s="8"/>
      <c r="B496" s="1"/>
      <c r="C496" s="1"/>
      <c r="D496" s="13"/>
      <c r="E496" s="13"/>
      <c r="F496" s="13"/>
      <c r="G496" s="13"/>
    </row>
    <row r="497" customFormat="false" ht="15" hidden="false" customHeight="false" outlineLevel="0" collapsed="false">
      <c r="A497" s="8"/>
      <c r="B497" s="1"/>
      <c r="C497" s="1"/>
      <c r="D497" s="13"/>
      <c r="E497" s="13"/>
      <c r="F497" s="13"/>
      <c r="G497" s="13"/>
    </row>
    <row r="498" customFormat="false" ht="15" hidden="false" customHeight="false" outlineLevel="0" collapsed="false">
      <c r="A498" s="8"/>
      <c r="B498" s="1"/>
      <c r="C498" s="1"/>
      <c r="D498" s="13"/>
      <c r="E498" s="13"/>
      <c r="F498" s="13"/>
      <c r="G498" s="13"/>
    </row>
    <row r="499" customFormat="false" ht="15" hidden="false" customHeight="false" outlineLevel="0" collapsed="false">
      <c r="A499" s="8"/>
      <c r="B499" s="1"/>
      <c r="C499" s="1"/>
      <c r="D499" s="13"/>
      <c r="E499" s="13"/>
      <c r="F499" s="13"/>
      <c r="G499" s="13"/>
    </row>
    <row r="500" customFormat="false" ht="15" hidden="false" customHeight="false" outlineLevel="0" collapsed="false">
      <c r="A500" s="8"/>
      <c r="B500" s="1"/>
      <c r="C500" s="1"/>
      <c r="D500" s="13"/>
      <c r="E500" s="13"/>
      <c r="F500" s="13"/>
      <c r="G500" s="13"/>
    </row>
    <row r="501" customFormat="false" ht="15" hidden="false" customHeight="false" outlineLevel="0" collapsed="false">
      <c r="A501" s="8"/>
      <c r="B501" s="1"/>
      <c r="C501" s="1"/>
      <c r="D501" s="13"/>
      <c r="E501" s="13"/>
      <c r="F501" s="13"/>
      <c r="G501" s="13"/>
    </row>
    <row r="502" customFormat="false" ht="15" hidden="false" customHeight="false" outlineLevel="0" collapsed="false">
      <c r="A502" s="1"/>
      <c r="B502" s="1"/>
      <c r="C502" s="1"/>
      <c r="D502" s="1"/>
      <c r="E502" s="1"/>
      <c r="F502" s="1"/>
      <c r="G502" s="1"/>
    </row>
    <row r="503" customFormat="false" ht="15" hidden="false" customHeight="false" outlineLevel="0" collapsed="false">
      <c r="A503" s="1"/>
      <c r="B503" s="1"/>
      <c r="C503" s="1"/>
      <c r="D503" s="1"/>
      <c r="E503" s="1"/>
      <c r="F503" s="1"/>
      <c r="G503" s="1"/>
    </row>
    <row r="504" customFormat="false" ht="15" hidden="false" customHeight="false" outlineLevel="0" collapsed="false">
      <c r="A504" s="1"/>
      <c r="B504" s="1"/>
      <c r="C504" s="1"/>
      <c r="D504" s="1"/>
      <c r="E504" s="1"/>
      <c r="F504" s="1"/>
      <c r="G504" s="1"/>
    </row>
    <row r="505" customFormat="false" ht="15" hidden="false" customHeight="false" outlineLevel="0" collapsed="false">
      <c r="A505" s="1"/>
      <c r="B505" s="1"/>
      <c r="C505" s="1"/>
      <c r="D505" s="1"/>
      <c r="E505" s="1"/>
      <c r="F505" s="1"/>
      <c r="G505" s="1"/>
    </row>
    <row r="506" customFormat="false" ht="15" hidden="false" customHeight="false" outlineLevel="0" collapsed="false">
      <c r="A506" s="1"/>
      <c r="B506" s="1"/>
      <c r="C506" s="1"/>
      <c r="D506" s="1"/>
      <c r="E506" s="1"/>
      <c r="F506" s="1"/>
      <c r="G506" s="1"/>
    </row>
    <row r="507" customFormat="false" ht="15" hidden="false" customHeight="false" outlineLevel="0" collapsed="false">
      <c r="A507" s="1"/>
      <c r="B507" s="1"/>
      <c r="C507" s="1"/>
      <c r="D507" s="1"/>
      <c r="E507" s="1"/>
      <c r="F507" s="1"/>
      <c r="G507" s="1"/>
    </row>
    <row r="508" customFormat="false" ht="15" hidden="false" customHeight="false" outlineLevel="0" collapsed="false">
      <c r="A508" s="1"/>
      <c r="B508" s="1"/>
      <c r="C508" s="1"/>
      <c r="D508" s="1"/>
      <c r="E508" s="1"/>
      <c r="F508" s="1"/>
      <c r="G508" s="1"/>
    </row>
    <row r="509" customFormat="false" ht="15" hidden="false" customHeight="false" outlineLevel="0" collapsed="false">
      <c r="A509" s="1"/>
      <c r="B509" s="1"/>
      <c r="C509" s="1"/>
      <c r="D509" s="1"/>
      <c r="E509" s="1"/>
      <c r="F509" s="1"/>
      <c r="G509" s="1"/>
    </row>
    <row r="510" customFormat="false" ht="15" hidden="false" customHeight="false" outlineLevel="0" collapsed="false">
      <c r="A510" s="1"/>
      <c r="B510" s="1"/>
      <c r="C510" s="1"/>
      <c r="D510" s="1"/>
      <c r="E510" s="1"/>
      <c r="F510" s="1"/>
      <c r="G510" s="1"/>
    </row>
    <row r="511" customFormat="false" ht="15" hidden="false" customHeight="false" outlineLevel="0" collapsed="false">
      <c r="A511" s="1"/>
      <c r="B511" s="1"/>
      <c r="C511" s="1"/>
      <c r="D511" s="1"/>
      <c r="E511" s="1"/>
      <c r="F511" s="1"/>
      <c r="G511" s="1"/>
    </row>
    <row r="512" customFormat="false" ht="15" hidden="false" customHeight="false" outlineLevel="0" collapsed="false">
      <c r="A512" s="1"/>
      <c r="B512" s="1"/>
      <c r="C512" s="1"/>
      <c r="D512" s="1"/>
      <c r="E512" s="1"/>
      <c r="F512" s="1"/>
      <c r="G512" s="1"/>
    </row>
    <row r="513" customFormat="false" ht="15" hidden="false" customHeight="false" outlineLevel="0" collapsed="false">
      <c r="A513" s="1"/>
      <c r="B513" s="1"/>
      <c r="C513" s="1"/>
      <c r="D513" s="1"/>
      <c r="E513" s="1"/>
      <c r="F513" s="1"/>
      <c r="G513" s="1"/>
    </row>
    <row r="514" customFormat="false" ht="15" hidden="false" customHeight="false" outlineLevel="0" collapsed="false">
      <c r="A514" s="1"/>
      <c r="B514" s="1"/>
      <c r="C514" s="1"/>
      <c r="D514" s="1"/>
      <c r="E514" s="1"/>
      <c r="F514" s="1"/>
      <c r="G514" s="1"/>
    </row>
    <row r="515" customFormat="false" ht="15" hidden="false" customHeight="false" outlineLevel="0" collapsed="false">
      <c r="A515" s="1"/>
      <c r="B515" s="1"/>
      <c r="C515" s="1"/>
      <c r="D515" s="1"/>
      <c r="E515" s="1"/>
      <c r="F515" s="1"/>
      <c r="G515" s="1"/>
    </row>
    <row r="516" customFormat="false" ht="15" hidden="false" customHeight="false" outlineLevel="0" collapsed="false">
      <c r="A516" s="1"/>
      <c r="B516" s="1"/>
      <c r="C516" s="1"/>
      <c r="D516" s="1"/>
      <c r="E516" s="1"/>
      <c r="F516" s="1"/>
      <c r="G516" s="1"/>
    </row>
    <row r="517" customFormat="false" ht="15" hidden="false" customHeight="false" outlineLevel="0" collapsed="false">
      <c r="A517" s="1"/>
      <c r="B517" s="1"/>
      <c r="C517" s="1"/>
      <c r="D517" s="1"/>
      <c r="E517" s="1"/>
      <c r="F517" s="1"/>
      <c r="G517" s="1"/>
    </row>
    <row r="518" customFormat="false" ht="15" hidden="false" customHeight="false" outlineLevel="0" collapsed="false">
      <c r="A518" s="1"/>
      <c r="B518" s="1"/>
      <c r="C518" s="1"/>
      <c r="D518" s="1"/>
      <c r="E518" s="1"/>
      <c r="F518" s="1"/>
      <c r="G518" s="1"/>
    </row>
    <row r="519" customFormat="false" ht="15" hidden="false" customHeight="false" outlineLevel="0" collapsed="false">
      <c r="A519" s="1"/>
      <c r="B519" s="1"/>
      <c r="C519" s="1"/>
      <c r="D519" s="1"/>
      <c r="E519" s="1"/>
      <c r="F519" s="1"/>
      <c r="G519" s="1"/>
    </row>
    <row r="520" customFormat="false" ht="15" hidden="false" customHeight="false" outlineLevel="0" collapsed="false">
      <c r="A520" s="1"/>
      <c r="B520" s="1"/>
      <c r="C520" s="1"/>
      <c r="D520" s="1"/>
      <c r="E520" s="1"/>
      <c r="F520" s="1"/>
      <c r="G52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2026-09-27T03:03:04Z</dcterms:modified>
  <cp:revision>3</cp:revision>
  <dc:subject/>
  <dc:title/>
</cp:coreProperties>
</file>